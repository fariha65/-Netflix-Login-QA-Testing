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4"/>
    <sheet state="visible" name="Bug report" sheetId="2" r:id="rId5"/>
  </sheets>
  <definedNames/>
  <calcPr/>
  <extLst>
    <ext uri="GoogleSheetsCustomDataVersion2">
      <go:sheetsCustomData xmlns:go="http://customooxmlschemas.google.com/" r:id="rId6" roundtripDataChecksum="LtG/VFuq2ungcvggCFad8uAxXNedXSl9c4shdSCxq0k="/>
    </ext>
  </extLst>
</workbook>
</file>

<file path=xl/sharedStrings.xml><?xml version="1.0" encoding="utf-8"?>
<sst xmlns="http://schemas.openxmlformats.org/spreadsheetml/2006/main" count="482" uniqueCount="292">
  <si>
    <t>Name</t>
  </si>
  <si>
    <t>Fariha Afrin Tamanna</t>
  </si>
  <si>
    <t>Product Name</t>
  </si>
  <si>
    <t>Netflix</t>
  </si>
  <si>
    <t>Module Name</t>
  </si>
  <si>
    <t xml:space="preserve">Login </t>
  </si>
  <si>
    <t>Exicution Date</t>
  </si>
  <si>
    <t>14/6/2024</t>
  </si>
  <si>
    <t>Test Report</t>
  </si>
  <si>
    <t>TEST REPORT</t>
  </si>
  <si>
    <t>PASS</t>
  </si>
  <si>
    <t>FAIL</t>
  </si>
  <si>
    <t>Improving area</t>
  </si>
  <si>
    <t>Out of Scope</t>
  </si>
  <si>
    <t>TOTAL</t>
  </si>
  <si>
    <t>TESTCASE</t>
  </si>
  <si>
    <t>#SL</t>
  </si>
  <si>
    <t>Module</t>
  </si>
  <si>
    <t>Type of Testing</t>
  </si>
  <si>
    <t>Features</t>
  </si>
  <si>
    <t>Test Cases Descripton</t>
  </si>
  <si>
    <t>Exepected  Result</t>
  </si>
  <si>
    <t>Actual Result</t>
  </si>
  <si>
    <t>Test Data</t>
  </si>
  <si>
    <t>Reproducing
Steps</t>
  </si>
  <si>
    <t xml:space="preserve">Bug Screen Shot </t>
  </si>
  <si>
    <t>Dev Comments</t>
  </si>
  <si>
    <t>Final Status</t>
  </si>
  <si>
    <t>Remarks</t>
  </si>
  <si>
    <t>User Management</t>
  </si>
  <si>
    <t>UI</t>
  </si>
  <si>
    <t>Login Page</t>
  </si>
  <si>
    <t>Checking grammertical mistake</t>
  </si>
  <si>
    <t>No grammertical mistake</t>
  </si>
  <si>
    <t>Found as per expectation</t>
  </si>
  <si>
    <t>N/A</t>
  </si>
  <si>
    <t>1. Navigate to the Netflix login page.  2. Review all the text on the page for grammatical mistakes.</t>
  </si>
  <si>
    <t>passed</t>
  </si>
  <si>
    <t xml:space="preserve">Verifying the font, text color and style </t>
  </si>
  <si>
    <t xml:space="preserve"> Found as per expectation</t>
  </si>
  <si>
    <t>1. Navigate to the Netflix login page.  2. Verify that the font, text color, and style match the Netflix design guidelines.</t>
  </si>
  <si>
    <t>Verifying mandatory field is marked with a red asterisk</t>
  </si>
  <si>
    <t>Red asterisk should be present</t>
  </si>
  <si>
    <t>1. Navigate to the Netflix login page. 2. Check if the mandatory fields (email/phone and password) are marked with a red asterisk.</t>
  </si>
  <si>
    <t>Checking by hovering over the fields</t>
  </si>
  <si>
    <t>A text should appear over the fields</t>
  </si>
  <si>
    <t>1. Navigate to the Netflix login page.  2. Hover over the email/phone and password fields. 3. Verify that helper text or tooltip appears when hovering over these fields.</t>
  </si>
  <si>
    <t>Checking alignment of the fields</t>
  </si>
  <si>
    <t>Proper alignment of the fields should be present</t>
  </si>
  <si>
    <t>1. Navigate to the Netflix login page.  2. Verify that all input fields (email/phone and password) are properly aligned as per the design guidelines.</t>
  </si>
  <si>
    <t>Verify footer text, alaignment,colour,link</t>
  </si>
  <si>
    <t>Proper alignment of the fields should be present, links are working,</t>
  </si>
  <si>
    <t>Navigate to the Netflix login page.
Scroll down to the footer section.
Check the alignment of the footer elements (links, text, icons).</t>
  </si>
  <si>
    <t>Verify footer language change button</t>
  </si>
  <si>
    <t xml:space="preserve">We can change any language </t>
  </si>
  <si>
    <t>Not Found as per expectation</t>
  </si>
  <si>
    <t>click laguage change button in footer section</t>
  </si>
  <si>
    <t>https://drive.google.com/file/d/10g_17ffCZcu6Vk9aiakvBDeU8qsH9UP-/view?usp=sharing</t>
  </si>
  <si>
    <t>failed</t>
  </si>
  <si>
    <t>Functional Testing</t>
  </si>
  <si>
    <t>Verify login with valid credentials</t>
  </si>
  <si>
    <t>User should be successfully logged in and redirected to the homepage</t>
  </si>
  <si>
    <t>as per expectation</t>
  </si>
  <si>
    <t>1. Go to Netflix login page 2. Enter valid email 3. Enter valid password 4. Click on 'Sign In'</t>
  </si>
  <si>
    <t>Verify login with invalid email</t>
  </si>
  <si>
    <t>User should see an error message indicating invalid email</t>
  </si>
  <si>
    <t>1. Go to Netflix login page.2. Enter invalid email.3. Enter valid password.4. Click on 'Sign In'</t>
  </si>
  <si>
    <t>Verify login with invalid password</t>
  </si>
  <si>
    <t>User should see an error message indicating invalid password</t>
  </si>
  <si>
    <t>1. Go to Netflix login page.2. Enter valid email.3. Enter invalid password.4. Click on 'Sign In'</t>
  </si>
  <si>
    <t>Verify login with empty email and password</t>
  </si>
  <si>
    <t>User should see error messages indicating required fields</t>
  </si>
  <si>
    <t>1. Go to Netflix login page.2. Leave email field empty.3. Leave password field empty.4. Click on 'Sign In'</t>
  </si>
  <si>
    <t>Verify 'Remember Me' functionality</t>
  </si>
  <si>
    <t>Email field should be pre-filled with the previously entered email</t>
  </si>
  <si>
    <t>1. Go to Netflix login page.2. Enter valid email.3. Enter valid password.4. Check 'Remember Me' box.5. Click on 'Sign In'.6. Log out.7. Go to Netflix login page again</t>
  </si>
  <si>
    <t>https://drive.google.com/file/d/1350t2Kb1fwn_AkGDdPWaS4Qtz8B6M6Wl/view?usp=drive_link</t>
  </si>
  <si>
    <t>Verify that the "Forgot Password" functionality allows users to reset their password via email.</t>
  </si>
  <si>
    <t>For registered emails, a password reset email should be received, and following the link should allow the user to reset their password and successfully log in.</t>
  </si>
  <si>
    <t>Registered Email: user@gmail.com
Unregistered Email: unregistered@gmail.com</t>
  </si>
  <si>
    <t>1.Open a web browser.
2.Go to Netflix Login Page.
3.Locate and click on "Forgot your password?" link.
4.Enter registered email user@gmail.com in the email field.
5.Click on the "Email Me" button.
6.Open the email account associated with user@gmail.com.
7.Check for an email from Netflix with instructions to reset the password.
8.Open the email and click on the password reset link.
9.Enter a new password and confirm it.
10.Submit the form.
11.Return to the Netflix login page.
12.Enter user@example.com and the new password.
13.Verify successful login.</t>
  </si>
  <si>
    <t>Verify 'Forgot Password' functionality</t>
  </si>
  <si>
    <t>User should be able to reset the password successfully</t>
  </si>
  <si>
    <t>found as per expectation</t>
  </si>
  <si>
    <t>Unregistered Email: unregistered@example.com</t>
  </si>
  <si>
    <t>1. Go to Netflix login page.2. Click on 'Forgot Password'.3. Enter registered email.4. Follow the instructions sent to email</t>
  </si>
  <si>
    <t>Verify the error message when an unregistered email is used in "Forgot Password" functionality.</t>
  </si>
  <si>
    <t>An error message should be displayed indicating the email is not registered with Netflix.</t>
  </si>
  <si>
    <t>Open a web browser.
Go to Netflix Login Page.
Locate and click on "Forgot your password?" link.
Enter unregistered email unregistered@example.com in the email field.
Click on the "Email Me" button.</t>
  </si>
  <si>
    <t>Verify the "Forgot Password" email link expires after a certain period.</t>
  </si>
  <si>
    <t>An error message should be displayed indicating the link has expired.</t>
  </si>
  <si>
    <t>Registered Email: user@example.com</t>
  </si>
  <si>
    <t>Open a web browser.
Go to Netflix Login Page.
Locate and click on "Forgot your password?" link.
Enter registered email user@example.com in the email field.
Click on the "Email Me" button.
Wait for the reset link to expire (usually 24 hours).
Attempt to use the expired reset link.</t>
  </si>
  <si>
    <t>https://drive.google.com/file/d/1stwrgh_QY64TVkyofgJJaBd6Jfb1fHvi/view?usp=sharing</t>
  </si>
  <si>
    <t>Verify the "Forgot Password" email link cannot be used more than once.</t>
  </si>
  <si>
    <t>An error message should be displayed indicating the link is no longer valid.</t>
  </si>
  <si>
    <t>Open a web browser.
Go to Netflix Login Page.
Locate and click on "Forgot your password?" link.
Enter registered email user@example.com in the email field.
Click on the "Email Me" button.
Use the reset link from the email to reset the password.
Attempt to use the same reset link again.</t>
  </si>
  <si>
    <t>https://drive.google.com/file/d/1stwrgh_QY64TVkyofgJJaBd6Jfb1fHvi/view?usp=drive_link</t>
  </si>
  <si>
    <t>Verify forgot email</t>
  </si>
  <si>
    <t>The system should retrieve and display the associated email address or send an email with the details to the registered email.</t>
  </si>
  <si>
    <t>First Name: John . Last Name: Doe . Credit/Debit Card Number: 4111111111111111 (Test Card Number)</t>
  </si>
  <si>
    <t>1. Open a web browser and navigate to the Netflix login page. . 2. Click on the "Forgot Email" link. . 3. Enter "John" in the first name field. . 4. Enter "Doe" in the last name field. . 5. Enter "4111111111111111" in the credit/debit card number field. . 6. Click the "Continue" button.</t>
  </si>
  <si>
    <t>Out of scope</t>
  </si>
  <si>
    <t>Verify "Forgot Email" with invalid card number</t>
  </si>
  <si>
    <t>An error message should be displayed indicating the card number is invalid.</t>
  </si>
  <si>
    <t>First Name: John . Last Name: Doe . Credit/Debit Card Number: 1234567812345678 (Invalid Card Number</t>
  </si>
  <si>
    <t>1. Open a web browser and navigate to the Netflix login page. . 2. Click on the "Forgot Email" link. . 3. Enter "John" in the first name field. . 4. Enter "Doe" in the last name field. . 5. Enter "1234567812345678" in the credit/debit card number field. . 6. Click the "Continue" button.</t>
  </si>
  <si>
    <t>Verify login with deactivated account</t>
  </si>
  <si>
    <t>User should see an error message indicating account deactivated</t>
  </si>
  <si>
    <t>1. Go to Netflix login page.2. Enter valid email.3. Enter valid password.4. Click on 'Sign In'</t>
  </si>
  <si>
    <t>Verify login button is enabled only when fields are filled</t>
  </si>
  <si>
    <t>Login button should be enabled only when both fields are filled</t>
  </si>
  <si>
    <t>1. Go to Netflix login page.2. Enter email.3. Enter password</t>
  </si>
  <si>
    <t>Verify password masking</t>
  </si>
  <si>
    <t>Password should be masked (shown as dots or asterisks)</t>
  </si>
  <si>
    <t>1. Go to Netflix login page.2. Enter password</t>
  </si>
  <si>
    <t>Verify error message for unregistered email</t>
  </si>
  <si>
    <t>User should see an error message indicating unregistered email</t>
  </si>
  <si>
    <t>Unregistered Email: unregistered@gmail.com</t>
  </si>
  <si>
    <t>1. Go to Netflix login page.2. Enter unregistered email.3. Enter password.4. Click on 'Sign In'</t>
  </si>
  <si>
    <t>https://drive.google.com/file/d/1ORckP-3srqKf7SqgdEPiGQwN5XdwvL9Y/view?usp=drive_link</t>
  </si>
  <si>
    <t>Verify error message for incorrect password</t>
  </si>
  <si>
    <t>User should see an error message indicating incorrect password</t>
  </si>
  <si>
    <t>1. Go to Netflix login page.2. Enter registered email.3. Enter incorrect password.4. Click on 'Sign In'</t>
  </si>
  <si>
    <t>https://drive.google.com/file/d/1W6bhBdg3gNu6za5_HhwOIn7-qorg8iJ9/view?usp=sharing</t>
  </si>
  <si>
    <t>Verify login page accessibility</t>
  </si>
  <si>
    <t>Login page should be accessible as per WCAG guidelines</t>
  </si>
  <si>
    <t>1. Go to Netflix login page</t>
  </si>
  <si>
    <t>Verify login with different browsers</t>
  </si>
  <si>
    <t>Login functionality should work correctly on all browsers</t>
  </si>
  <si>
    <t>1. Go to Netflix login page on different browsers (Chrome, Firefox, Safari, etc.)</t>
  </si>
  <si>
    <t>Verify login with different devices</t>
  </si>
  <si>
    <t>Login functionality should work correctly on all devices</t>
  </si>
  <si>
    <t>1. Go to Netflix login page on different devices (PC, mobile, tablet)</t>
  </si>
  <si>
    <t>Verify session timeout after inactivity</t>
  </si>
  <si>
    <t>User should be logged out after inactivity period</t>
  </si>
  <si>
    <t>1. Log in to Netflix.2. Remain inactive for a specified time</t>
  </si>
  <si>
    <t>Verify login with special characters in email</t>
  </si>
  <si>
    <t>User should be able to log in successfully</t>
  </si>
  <si>
    <t>1. Go to Netflix login page.2. Enter Register email with special characters.3. Enter password.4. Click on 'Sign In'</t>
  </si>
  <si>
    <t>Verify login with maximum length email</t>
  </si>
  <si>
    <t>1. Go to Netflix login page.2. Enter maximum length register email.3. Enter password.4. Click on 'Sign In'</t>
  </si>
  <si>
    <t>Verify login with maximum length password</t>
  </si>
  <si>
    <t>1. Go to Netflix login page.2. Enter register email.3. Enter maximum length  register password.4. Click on 'Sign In'</t>
  </si>
  <si>
    <t>Verify that password field does not accept spaces</t>
  </si>
  <si>
    <t>1. Go to Netflix login page.2. Enter email.3. Enter spaces in password field.4. Click on 'Sign In'</t>
  </si>
  <si>
    <t>Verify login with email containing leading spaces</t>
  </si>
  <si>
    <t>Leading spaces should be trimmed, and login should be successful</t>
  </si>
  <si>
    <t>1. Go to Netflix login page.2. Enter email with leading spaces.3. Enter password.4. Click on 'Sign In'</t>
  </si>
  <si>
    <t>Verify login with email containing trailing spaces</t>
  </si>
  <si>
    <t>Trailing spaces should be trimmed, and login should be successful</t>
  </si>
  <si>
    <t>1. Go to Netflix login page.2. Enter email with trailing spaces.3. Enter password.4. Click on 'Sign In'</t>
  </si>
  <si>
    <t>Verify login with password containing leading spaces</t>
  </si>
  <si>
    <t>1. Go to Netflix login page.2. Enter email.3. Enter password with leading spaces.4. Click on 'Sign In'</t>
  </si>
  <si>
    <t>Verify login with password containing trailing spaces</t>
  </si>
  <si>
    <t>1. Go to Netflix login page.2. Enter email.3. Enter password with trailing spaces.4. Click on 'Sign In'</t>
  </si>
  <si>
    <t>Verify login with email in uppercase</t>
  </si>
  <si>
    <t>Login should be case-insensitive, and user should be able to log in</t>
  </si>
  <si>
    <t>1. Go to Netflix login page.2. Enter email in uppercase.3. Enter password.4. Click on 'Sign In'</t>
  </si>
  <si>
    <t>Verify login with password in uppercase</t>
  </si>
  <si>
    <t>Login should be case-sensitive, and user should not be able to log in</t>
  </si>
  <si>
    <t>1. Go to Netflix login page.2. Enter email.3. Enter password in uppercase.4. Click on 'Sign In'</t>
  </si>
  <si>
    <t>Verify login with email in mixed case</t>
  </si>
  <si>
    <t>1. Go to Netflix login page.2. Enter email in mixed case.3. Enter password.4. Click on 'Sign In'</t>
  </si>
  <si>
    <t>Verify login with password in mixed case</t>
  </si>
  <si>
    <t>1. Go to Netflix login page.2. Enter email.3. Enter password in mixed case.4. Click on 'Sign In'</t>
  </si>
  <si>
    <t>Verify login with valid email and empty password</t>
  </si>
  <si>
    <t>User should see an error message indicating required password</t>
  </si>
  <si>
    <t>1. Go to Netflix login page.2. Enter valid email.3. Leave password field empty.4. Click on 'Sign In'</t>
  </si>
  <si>
    <t>Verify login with empty email and valid password</t>
  </si>
  <si>
    <t>User should see an error message indicating required email</t>
  </si>
  <si>
    <t>1. Go to Netflix login page.2. Leave email field empty.3. Enter valid password.4. Click on 'Sign In'</t>
  </si>
  <si>
    <t>Verify login with email containing single quote</t>
  </si>
  <si>
    <t>1. Go to Netflix login page.2. Enter email containing a single quote.3. Enter password.4. Click on 'Sign In'</t>
  </si>
  <si>
    <t>Verify login with password containing single quote</t>
  </si>
  <si>
    <t>1. Go to Netflix login page.2. Enter email.3. Enter password containing a single quote.4. Click on 'Sign In'</t>
  </si>
  <si>
    <t>Verify login with email containing apostrophe</t>
  </si>
  <si>
    <t>1. Go to Netflix login page.2. Enter email containing an apostrophe.3. Enter password.4. Click on 'Sign In'</t>
  </si>
  <si>
    <t>Verify login with password containing apostrophe</t>
  </si>
  <si>
    <t>1. Go to Netflix login page.2. Enter email.3. Enter password containing an apostrophe.4. Click on 'Sign In'</t>
  </si>
  <si>
    <t>Verify login with spaces in email and valid password</t>
  </si>
  <si>
    <t>1. Go to Netflix login page.2. Enter email with spaces.3. Enter valid password.4. Click on 'Sign In'</t>
  </si>
  <si>
    <t>Verify login button state after clearing email and password</t>
  </si>
  <si>
    <t>Login button should be disabled after clearing fields</t>
  </si>
  <si>
    <t>1. Go to Netflix login page.2. Enter email and password.3. Clear email and password fields.4. Check login button state</t>
  </si>
  <si>
    <t>Verify login button tooltip</t>
  </si>
  <si>
    <t>Tooltip with login button action should be displayed</t>
  </si>
  <si>
    <t>1. Hover over the login button</t>
  </si>
  <si>
    <t>Verify 'Privacy Statement' link functionality</t>
  </si>
  <si>
    <t>User should be redirected to the Privacy Statement page</t>
  </si>
  <si>
    <t>1. Go to Netflix login page.2. Click on 'Privacy Statement' link</t>
  </si>
  <si>
    <t>Verify 'Sign Up Now' link functionality</t>
  </si>
  <si>
    <t>User should be redirected to the Sign Up page</t>
  </si>
  <si>
    <t>1. Go to Netflix login page.2. Click on 'Sign Up Now' link</t>
  </si>
  <si>
    <t>Verify 'Need help?' link functionality</t>
  </si>
  <si>
    <t>User should be redirected to the Help page</t>
  </si>
  <si>
    <t>1. Go to Netflix login page.2. Click on 'Need help?' link</t>
  </si>
  <si>
    <t>Verify 'Stay signed in' checkbox functionality</t>
  </si>
  <si>
    <t>User should stay signed in after logging out and logging in again</t>
  </si>
  <si>
    <t>1. Go to Netflix login page.2. Check 'Stay signed in' checkbox.3. Log in.4. Log out.5. Log in again</t>
  </si>
  <si>
    <t>Verify error message when entering incorrect email format</t>
  </si>
  <si>
    <t>User should see an error message indicating incorrect email format</t>
  </si>
  <si>
    <t>1. Go to Netflix login page.2. Enter email in incorrect format (e.g., missing @).3. Enter password.4. Click on 'Sign In'</t>
  </si>
  <si>
    <t>Verify 'Caps Lock' warning functionality</t>
  </si>
  <si>
    <t>User should see a warning message indicating Caps Lock is enabled</t>
  </si>
  <si>
    <t>1. Go to Netflix login page.2. Enable Caps Lock key.3. Enter password</t>
  </si>
  <si>
    <t>Verify that the "Use a sign in code" functionality allows users to sign in using a code sent to their email or phone.</t>
  </si>
  <si>
    <t>The user should receive a sign-in code via email or SMS and be able to log in using that code.
For invalid codes, an error message should be displayed.</t>
  </si>
  <si>
    <t>Navigate to Netflix Login Page
Open a web browser.
Go to Netflix Login Page.
Locate and Click "Use a sign in code"
On the login page, locate and click on the "Use a sign in code" link.
Enter Registered Email or Phone Number
On the "Sign in with a code" page, enter the registered email user@example.com or the registered phone number +1234567890.
Click on the "Email Me a Code" or "Text Me a Code" button.
Receive Sign In Code
Open the email account associated with user@example.com or check the messages on the phone number +1234567890.
Retrieve the sign-in code sent by Netflix.
Enter Sign In Code
Enter the received sign-in code in the provided field on the Netflix sign-in page.
Click on the "Sign In" button.
Verify Successful Login
Ensure that the user is successfully logged into their Netflix account.</t>
  </si>
  <si>
    <t>To verify the functionality and visibility of Google reCAPTCHA on the Netflix login page.</t>
  </si>
  <si>
    <t>A checkbox labeled "I'm not a robot" should be visible below the login fields.</t>
  </si>
  <si>
    <t>Go to https://www.netflix.com.
Click "Sign In" and enter credentials.
Check "I'm not a robot" checkbox.
Complete Google reCAPTCHA challenge.
Submit login; verify successful login or repeat if necessary.</t>
  </si>
  <si>
    <t>https://drive.google.com/file/d/1IlZa19Ifq59FiAMVYALdD6QEJE1GrBO6/view?usp=drive_link</t>
  </si>
  <si>
    <t>Persistent "Loading" Indicator After Login</t>
  </si>
  <si>
    <t>After successful login, the user should be redirected to the dashboard or home page.</t>
  </si>
  <si>
    <t>1. Enter valid credentials and click "Sign In"..2. Observe the screen for successful login.</t>
  </si>
  <si>
    <t>Autofill password</t>
  </si>
  <si>
    <t>Autofill should correctly populate and submit login credentials.</t>
  </si>
  <si>
    <t>1. Navigate to the Netflix login page with saved credentials..2. Allow browser autofill to populate username and password fields..3. Attempt to submit login credentials.</t>
  </si>
  <si>
    <t>Performance test</t>
  </si>
  <si>
    <t>Single User Load Test</t>
  </si>
  <si>
    <t>The login page should load within 3 seconds</t>
  </si>
  <si>
    <t>1. Configure JMeter with Netflix login page URL.2. Simulate a single user accessing the login page</t>
  </si>
  <si>
    <t>Multiple Users Load Test (50 users)</t>
  </si>
  <si>
    <t>The login page should load for all users within 5 seconds</t>
  </si>
  <si>
    <t>1. Configure BlazeMeter with Netflix login page URL.2. Simulate 50 users accessing the login page simultaneously</t>
  </si>
  <si>
    <t>Peak Load Test (500 users)</t>
  </si>
  <si>
    <t>The login page should load for all users within 10 seconds</t>
  </si>
  <si>
    <t>1. Configure BlazeMeter with Netflix login page URL.2. Simulate 500 users accessing the login page simultaneously</t>
  </si>
  <si>
    <t>https://drive.google.com/file/d/1cF_W_zpBNO1KL__DWi9EyviHEnnbrl9T/view?usp=drive_link</t>
  </si>
  <si>
    <t>Stress Test</t>
  </si>
  <si>
    <t>Identify the maximum number of concurrent users the login page can handle before performance degrades significantly</t>
  </si>
  <si>
    <t>1. Configure JMeter with Netflix login page URL.2. Gradually increase the number of users from 500 to 1000</t>
  </si>
  <si>
    <t>https://drive.google.com/file/d/1L8OTyA5okBv_QiDMgYf8g7OfmlZhQzI2/view?usp=drive_link</t>
  </si>
  <si>
    <t>Login Functionality Test under Load</t>
  </si>
  <si>
    <t>Login process should complete within 10 seconds for all users</t>
  </si>
  <si>
    <t>1. Simulate 100 users logging in simultaneously</t>
  </si>
  <si>
    <t>Test Case Report</t>
  </si>
  <si>
    <t xml:space="preserve">Project Name  - </t>
  </si>
  <si>
    <t xml:space="preserve">Module Name  - </t>
  </si>
  <si>
    <t>Log in</t>
  </si>
  <si>
    <t xml:space="preserve">Total No. </t>
  </si>
  <si>
    <t>Status</t>
  </si>
  <si>
    <t>Result :</t>
  </si>
  <si>
    <t>Test Case Version</t>
  </si>
  <si>
    <t>Written By</t>
  </si>
  <si>
    <t>Sadia Afrin Antara</t>
  </si>
  <si>
    <t>Executed By</t>
  </si>
  <si>
    <t>Improving Area</t>
  </si>
  <si>
    <t>New Features</t>
  </si>
  <si>
    <t>Testing Scope</t>
  </si>
  <si>
    <t>Testing Environment :</t>
  </si>
  <si>
    <t>Reviewed By</t>
  </si>
  <si>
    <t>Test Environment</t>
  </si>
  <si>
    <t>Browser</t>
  </si>
  <si>
    <t>TEST EXECUTION REPORT</t>
  </si>
  <si>
    <t>Test Case</t>
  </si>
  <si>
    <t>Out Of Scope</t>
  </si>
  <si>
    <t>Total TC</t>
  </si>
  <si>
    <t xml:space="preserve">Grand Total  </t>
  </si>
  <si>
    <t>Issue Description</t>
  </si>
  <si>
    <t>Steps to Reproduce</t>
  </si>
  <si>
    <t>Expected Behavior</t>
  </si>
  <si>
    <t>Actual Behavior</t>
  </si>
  <si>
    <t>Priority</t>
  </si>
  <si>
    <t>Severity</t>
  </si>
  <si>
    <t>Verify footer language change button in log in page</t>
  </si>
  <si>
    <t>Navigate to the Netflix login page. Scroll down to the footer section. Click language change button in footer section</t>
  </si>
  <si>
    <t>We can change any language</t>
  </si>
  <si>
    <t>English is set by default</t>
  </si>
  <si>
    <t>Medium</t>
  </si>
  <si>
    <t>Low</t>
  </si>
  <si>
    <t>1. Go to Netflix login page. 2. Enter valid email. 3. Enter valid password. 4. Check 'Remember Me' box. 5. Click on 'Sign In'. 6. Log out. 7. Go to Netflix login page again</t>
  </si>
  <si>
    <t>Email field should not be pre-filled with the previously entered email</t>
  </si>
  <si>
    <t>Open a web browser. Go to Netflix Login Page. Locate and click on "Forgot your password?" link. Enter registered email user@example.com in the email field. Click on the "Email Me" button. Wait for the reset link to expire (usually 24 hours). Attempt to use the expired reset link.</t>
  </si>
  <si>
    <t>No error message should be displayed indicating the link has expired.</t>
  </si>
  <si>
    <t>High</t>
  </si>
  <si>
    <t>Open a web browser. Go to Netflix Login Page. Locate and click on "Forgot your password?" link. Enter registered email user@example.com in the email field. Click on the "Email Me" button. Use the reset link from the email to reset the password. Attempt to use the same reset link again.</t>
  </si>
  <si>
    <t>No error message should be displayed indicating the link is no longer valid.</t>
  </si>
  <si>
    <t>1. Go to Netflix login page. 2. Enter unregistered email. 3. Enter password. 4. Click on 'Sign In'</t>
  </si>
  <si>
    <t>No error message indicating unregistered email</t>
  </si>
  <si>
    <t>1. Go to Netflix login page. 2. Enter registered email. 3. Enter incorrect password. 4. Click on 'Sign In'</t>
  </si>
  <si>
    <t>No error message indicating incorrect password</t>
  </si>
  <si>
    <t>1. Go to Netflix login page. 2. Enter email. 3. Enter password with leading spaces. 4. Click on 'Sign In'</t>
  </si>
  <si>
    <t>No error message indicating invalid password</t>
  </si>
  <si>
    <t>1. Go to Netflix login page. 2. Enter email. 3. Enter password with trailing spaces. 4. Click on 'Sign In'</t>
  </si>
  <si>
    <t>Check "I'm not a robot" checkbox. Complete Google reCAPTCHA challenge. Submit login; verify successful login or repeat if necessary.</t>
  </si>
  <si>
    <t>A checkbox labeled "I'm not a robot" should not be visible below the login fields.</t>
  </si>
  <si>
    <t>1. Configure BlazeMeter with Netflix login page URL. 2. Simulate 500 users accessing the login page simultaneously</t>
  </si>
  <si>
    <t>The login page should not load for all users within 10 seconds</t>
  </si>
  <si>
    <t>1. Configure JMeter with Netflix login page URL. 2. Gradually increase the number of users from 500 to 1000</t>
  </si>
  <si>
    <t>Identify the maximum number of concurrent users the login page can handle before performance degrades significantly. Login page cannot handle the stress of 1000 users hit at a time or 20 s</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</si>
</sst>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b/>
      <sz val="13.0"/>
      <color rgb="FF44546A"/>
      <name val="Calibri"/>
    </font>
    <font/>
    <font>
      <b/>
      <u/>
      <sz val="13.0"/>
      <color rgb="FF44546A"/>
      <name val="Calibri"/>
    </font>
    <font>
      <sz val="11.0"/>
      <color theme="1"/>
      <name val="Calibri"/>
    </font>
    <font>
      <b/>
      <sz val="15.0"/>
      <color rgb="FF44546A"/>
      <name val="Calibri"/>
    </font>
    <font>
      <sz val="10.0"/>
      <color theme="1"/>
      <name val="Verdana"/>
    </font>
    <font>
      <b/>
      <sz val="10.0"/>
      <color rgb="FF000000"/>
      <name val="Verdana"/>
    </font>
    <font>
      <b/>
      <sz val="10.0"/>
      <color rgb="FFFFFFFF"/>
      <name val="Verdana"/>
    </font>
    <font>
      <b/>
      <sz val="10.0"/>
      <color theme="1"/>
      <name val="Verdana"/>
    </font>
    <font>
      <b/>
      <sz val="12.0"/>
      <color rgb="FFFFFFFF"/>
      <name val="Times New Roman"/>
    </font>
    <font>
      <sz val="12.0"/>
      <color rgb="FFFFFFFF"/>
      <name val="Times New Roman"/>
    </font>
    <font>
      <sz val="11.0"/>
      <color rgb="FF000000"/>
      <name val="Calibri"/>
    </font>
    <font>
      <b/>
      <sz val="11.0"/>
      <color rgb="FF000000"/>
      <name val="Calibri"/>
    </font>
    <font>
      <b/>
      <sz val="22.0"/>
      <color rgb="FF000000"/>
      <name val="Calibri"/>
    </font>
    <font>
      <sz val="10.0"/>
      <color rgb="FF000000"/>
      <name val="Verdana"/>
    </font>
    <font>
      <sz val="10.0"/>
      <color rgb="FFFFFFFF"/>
      <name val="Verdana"/>
    </font>
    <font>
      <sz val="11.0"/>
      <color rgb="FFFFFFFF"/>
      <name val="Calibri"/>
    </font>
    <font>
      <sz val="11.0"/>
      <color rgb="FF0000FF"/>
      <name val="Calibri"/>
    </font>
    <font>
      <u/>
      <sz val="11.0"/>
      <color theme="10"/>
      <name val="Calibri"/>
    </font>
    <font>
      <u/>
      <sz val="10.0"/>
      <color rgb="FF0000FF"/>
      <name val="Calibri"/>
    </font>
    <font>
      <u/>
      <sz val="11.0"/>
      <color rgb="FF000000"/>
      <name val="Calibri"/>
    </font>
    <font>
      <b/>
      <sz val="11.0"/>
      <color theme="1"/>
      <name val="Calibri"/>
    </font>
    <font>
      <sz val="11.0"/>
      <color rgb="FF808080"/>
      <name val="Calibri"/>
    </font>
    <font>
      <b/>
      <sz val="24.0"/>
      <color theme="0"/>
      <name val="Calibri"/>
    </font>
    <font>
      <sz val="10.0"/>
      <color theme="1"/>
      <name val="Arial"/>
    </font>
    <font>
      <b/>
      <u/>
      <sz val="11.0"/>
      <color rgb="FF171616"/>
      <name val="Calibri"/>
    </font>
    <font>
      <b/>
      <sz val="10.0"/>
      <color theme="1"/>
      <name val="Arial"/>
    </font>
    <font>
      <b/>
      <sz val="12.0"/>
      <color rgb="FF222222"/>
      <name val="Arial"/>
    </font>
    <font>
      <sz val="10.0"/>
      <color rgb="FF000000"/>
      <name val="Arial"/>
    </font>
    <font>
      <sz val="10.0"/>
      <color rgb="FF222222"/>
      <name val="Arial"/>
    </font>
    <font>
      <b/>
      <sz val="10.0"/>
      <color rgb="FF000000"/>
      <name val="Arial"/>
    </font>
    <font>
      <b/>
      <sz val="11.0"/>
      <color theme="1"/>
      <name val="Comfortaa"/>
    </font>
    <font>
      <b/>
      <sz val="12.0"/>
      <color theme="1"/>
      <name val="Calibri"/>
    </font>
    <font>
      <b/>
      <sz val="14.0"/>
      <color theme="1"/>
      <name val="Calibri"/>
    </font>
  </fonts>
  <fills count="28">
    <fill>
      <patternFill patternType="none"/>
    </fill>
    <fill>
      <patternFill patternType="lightGray"/>
    </fill>
    <fill>
      <patternFill patternType="solid">
        <fgColor rgb="FFC6EFCE"/>
        <bgColor rgb="FFC6EFCE"/>
      </patternFill>
    </fill>
    <fill>
      <patternFill patternType="solid">
        <fgColor rgb="FFA8D08D"/>
        <bgColor rgb="FFA8D08D"/>
      </patternFill>
    </fill>
    <fill>
      <patternFill patternType="solid">
        <fgColor rgb="FFFFC000"/>
        <bgColor rgb="FFFFC000"/>
      </patternFill>
    </fill>
    <fill>
      <patternFill patternType="solid">
        <fgColor rgb="FF002060"/>
        <bgColor rgb="FF002060"/>
      </patternFill>
    </fill>
    <fill>
      <patternFill patternType="solid">
        <fgColor rgb="FFD8D8D8"/>
        <bgColor rgb="FFD8D8D8"/>
      </patternFill>
    </fill>
    <fill>
      <patternFill patternType="solid">
        <fgColor rgb="FFFFCCFF"/>
        <bgColor rgb="FFFFCCFF"/>
      </patternFill>
    </fill>
    <fill>
      <patternFill patternType="solid">
        <fgColor rgb="FFD6E3BC"/>
        <bgColor rgb="FFD6E3BC"/>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AC090"/>
        <bgColor rgb="FFFAC090"/>
      </patternFill>
    </fill>
    <fill>
      <patternFill patternType="solid">
        <fgColor rgb="FFC6D9F0"/>
        <bgColor rgb="FFC6D9F0"/>
      </patternFill>
    </fill>
    <fill>
      <patternFill patternType="solid">
        <fgColor rgb="FF44546A"/>
        <bgColor rgb="FF44546A"/>
      </patternFill>
    </fill>
    <fill>
      <patternFill patternType="solid">
        <fgColor rgb="FFF7CAAC"/>
        <bgColor rgb="FFF7CAAC"/>
      </patternFill>
    </fill>
    <fill>
      <patternFill patternType="solid">
        <fgColor rgb="FFE2EFD9"/>
        <bgColor rgb="FFE2EFD9"/>
      </patternFill>
    </fill>
    <fill>
      <patternFill patternType="solid">
        <fgColor rgb="FFFFFFFF"/>
        <bgColor rgb="FFFFFFFF"/>
      </patternFill>
    </fill>
    <fill>
      <patternFill patternType="solid">
        <fgColor rgb="FFBFBFBF"/>
        <bgColor rgb="FFBFBFBF"/>
      </patternFill>
    </fill>
    <fill>
      <patternFill patternType="solid">
        <fgColor rgb="FFD9D9D9"/>
        <bgColor rgb="FFD9D9D9"/>
      </patternFill>
    </fill>
    <fill>
      <patternFill patternType="solid">
        <fgColor rgb="FF333F4F"/>
        <bgColor rgb="FF333F4F"/>
      </patternFill>
    </fill>
    <fill>
      <patternFill patternType="solid">
        <fgColor rgb="FFB6DDE8"/>
        <bgColor rgb="FFB6DDE8"/>
      </patternFill>
    </fill>
    <fill>
      <patternFill patternType="solid">
        <fgColor rgb="FFA4C2F4"/>
        <bgColor rgb="FFA4C2F4"/>
      </patternFill>
    </fill>
    <fill>
      <patternFill patternType="solid">
        <fgColor rgb="FF9CC2E5"/>
        <bgColor rgb="FF9CC2E5"/>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ADB9CA"/>
        <bgColor rgb="FFADB9CA"/>
      </patternFill>
    </fill>
  </fills>
  <borders count="50">
    <border/>
    <border>
      <left/>
      <top/>
      <bottom style="thick">
        <color rgb="FFACCCE9"/>
      </bottom>
    </border>
    <border>
      <top/>
      <bottom style="thick">
        <color rgb="FFACCCE9"/>
      </bottom>
    </border>
    <border>
      <right/>
      <top/>
      <bottom style="thick">
        <color rgb="FFACCCE9"/>
      </bottom>
    </border>
    <border>
      <left/>
      <right/>
      <top/>
      <bottom style="thick">
        <color rgb="FFACCCE9"/>
      </bottom>
    </border>
    <border>
      <left/>
      <top/>
      <bottom/>
    </border>
    <border>
      <top/>
      <bottom/>
    </border>
    <border>
      <right/>
      <top/>
      <bottom/>
    </border>
    <border>
      <left/>
      <top/>
      <bottom style="thick">
        <color theme="4"/>
      </bottom>
    </border>
    <border>
      <top/>
      <bottom style="thick">
        <color theme="4"/>
      </bottom>
    </border>
    <border>
      <right/>
      <top/>
      <bottom style="thick">
        <color theme="4"/>
      </bottom>
    </border>
    <border>
      <left/>
      <right/>
      <top/>
      <bottom style="thick">
        <color theme="4"/>
      </bottom>
    </border>
    <border>
      <left/>
      <top style="thick">
        <color theme="4"/>
      </top>
      <bottom style="thick">
        <color theme="4"/>
      </bottom>
    </border>
    <border>
      <top style="thick">
        <color theme="4"/>
      </top>
      <bottom style="thick">
        <color theme="4"/>
      </bottom>
    </border>
    <border>
      <right/>
      <top style="thick">
        <color theme="4"/>
      </top>
      <bottom style="thick">
        <color theme="4"/>
      </bottom>
    </border>
    <border>
      <left/>
      <right/>
      <top/>
      <bottom/>
    </border>
    <border>
      <left/>
      <right style="thin">
        <color rgb="FF000000"/>
      </right>
      <top/>
      <bottom/>
    </border>
    <border>
      <left style="thin">
        <color rgb="FF000000"/>
      </left>
      <right style="medium">
        <color rgb="FF000000"/>
      </right>
      <top style="medium">
        <color rgb="FF000000"/>
      </top>
      <bottom style="medium">
        <color rgb="FF000000"/>
      </bottom>
    </border>
    <border>
      <left style="medium">
        <color rgb="FF000000"/>
      </left>
      <top style="thick">
        <color theme="4"/>
      </top>
      <bottom/>
    </border>
    <border>
      <top style="thick">
        <color theme="4"/>
      </top>
      <bottom/>
    </border>
    <border>
      <right/>
      <top style="thick">
        <color theme="4"/>
      </top>
      <bottom/>
    </border>
    <border>
      <left style="medium">
        <color rgb="FF000000"/>
      </left>
      <top/>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left style="medium">
        <color rgb="FF000000"/>
      </left>
      <top/>
    </border>
    <border>
      <top/>
    </border>
    <border>
      <right style="medium">
        <color rgb="FF000000"/>
      </right>
      <top/>
    </border>
    <border>
      <left style="medium">
        <color rgb="FF000000"/>
      </left>
      <bottom/>
    </border>
    <border>
      <bottom/>
    </border>
    <border>
      <right style="medium">
        <color rgb="FF000000"/>
      </right>
      <bottom/>
    </border>
    <border>
      <left style="medium">
        <color rgb="FF000000"/>
      </left>
      <right style="thin">
        <color rgb="FF000000"/>
      </right>
      <top/>
      <bottom style="thin">
        <color rgb="FF000000"/>
      </bottom>
    </border>
    <border>
      <left/>
      <right style="thin">
        <color rgb="FF000000"/>
      </right>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style="thin">
        <color rgb="FF000000"/>
      </right>
      <top/>
      <bottom style="medium">
        <color rgb="FF000000"/>
      </bottom>
    </border>
    <border>
      <left/>
      <right style="thin">
        <color rgb="FF000000"/>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1" numFmtId="0" xfId="0" applyAlignment="1" applyBorder="1" applyFill="1" applyFont="1">
      <alignment readingOrder="0"/>
    </xf>
    <xf borderId="4" fillId="3" fontId="1" numFmtId="0" xfId="0" applyBorder="1" applyFont="1"/>
    <xf borderId="4" fillId="4" fontId="3" numFmtId="0" xfId="0" applyBorder="1" applyFill="1" applyFont="1"/>
    <xf borderId="4" fillId="4" fontId="1" numFmtId="0" xfId="0" applyBorder="1" applyFont="1"/>
    <xf borderId="5" fillId="5" fontId="4" numFmtId="0" xfId="0" applyAlignment="1" applyBorder="1" applyFill="1" applyFont="1">
      <alignment horizontal="center"/>
    </xf>
    <xf borderId="6" fillId="0" fontId="2" numFmtId="0" xfId="0" applyBorder="1" applyFont="1"/>
    <xf borderId="7" fillId="0" fontId="2" numFmtId="0" xfId="0" applyBorder="1" applyFont="1"/>
    <xf borderId="8" fillId="6" fontId="5" numFmtId="0" xfId="0" applyAlignment="1" applyBorder="1" applyFill="1" applyFont="1">
      <alignment horizontal="center" shrinkToFit="0" wrapText="1"/>
    </xf>
    <xf borderId="9" fillId="0" fontId="2" numFmtId="0" xfId="0" applyBorder="1" applyFont="1"/>
    <xf borderId="10" fillId="0" fontId="2" numFmtId="0" xfId="0" applyBorder="1" applyFont="1"/>
    <xf borderId="0" fillId="0" fontId="4" numFmtId="0" xfId="0" applyAlignment="1" applyFont="1">
      <alignment shrinkToFit="0" wrapText="1"/>
    </xf>
    <xf borderId="11" fillId="6" fontId="5" numFmtId="0" xfId="0" applyAlignment="1" applyBorder="1" applyFont="1">
      <alignment horizontal="center" shrinkToFit="0" wrapText="1"/>
    </xf>
    <xf borderId="12" fillId="7" fontId="5" numFmtId="0" xfId="0" applyAlignment="1" applyBorder="1" applyFill="1" applyFont="1">
      <alignment horizontal="center" shrinkToFit="0" wrapText="1"/>
    </xf>
    <xf borderId="13" fillId="0" fontId="2" numFmtId="0" xfId="0" applyBorder="1" applyFont="1"/>
    <xf borderId="14" fillId="0" fontId="2" numFmtId="0" xfId="0" applyBorder="1" applyFont="1"/>
    <xf borderId="15" fillId="8" fontId="6" numFmtId="0" xfId="0" applyBorder="1" applyFill="1" applyFont="1"/>
    <xf borderId="16" fillId="8" fontId="6" numFmtId="0" xfId="0" applyBorder="1" applyFont="1"/>
    <xf borderId="17" fillId="9" fontId="7" numFmtId="0" xfId="0" applyAlignment="1" applyBorder="1" applyFill="1" applyFont="1">
      <alignment horizontal="center" shrinkToFit="0" vertical="center" wrapText="1"/>
    </xf>
    <xf borderId="18" fillId="8" fontId="6" numFmtId="0" xfId="0" applyAlignment="1" applyBorder="1" applyFont="1">
      <alignment horizontal="center" shrinkToFit="0" wrapText="1"/>
    </xf>
    <xf borderId="19" fillId="0" fontId="2" numFmtId="0" xfId="0" applyBorder="1" applyFont="1"/>
    <xf borderId="20" fillId="0" fontId="2" numFmtId="0" xfId="0" applyBorder="1" applyFont="1"/>
    <xf borderId="17" fillId="10" fontId="8" numFmtId="0" xfId="0" applyAlignment="1" applyBorder="1" applyFill="1" applyFont="1">
      <alignment horizontal="center" shrinkToFit="0" vertical="center" wrapText="1"/>
    </xf>
    <xf borderId="21" fillId="8" fontId="6" numFmtId="0" xfId="0" applyAlignment="1" applyBorder="1" applyFont="1">
      <alignment horizontal="center" shrinkToFit="0" wrapText="1"/>
    </xf>
    <xf borderId="17" fillId="11" fontId="9" numFmtId="0" xfId="0" applyAlignment="1" applyBorder="1" applyFill="1" applyFont="1">
      <alignment shrinkToFit="0" vertical="center" wrapText="1"/>
    </xf>
    <xf borderId="17" fillId="12" fontId="9" numFmtId="0" xfId="0" applyAlignment="1" applyBorder="1" applyFill="1" applyFont="1">
      <alignment horizontal="center" shrinkToFit="0" vertical="center" wrapText="1"/>
    </xf>
    <xf borderId="21" fillId="12" fontId="6" numFmtId="0" xfId="0" applyAlignment="1" applyBorder="1" applyFont="1">
      <alignment horizontal="center" shrinkToFit="0" wrapText="1"/>
    </xf>
    <xf borderId="22" fillId="13" fontId="9" numFmtId="0" xfId="0" applyAlignment="1" applyBorder="1" applyFill="1" applyFont="1">
      <alignment horizontal="center" shrinkToFit="0" vertical="center" wrapText="1"/>
    </xf>
    <xf borderId="21" fillId="8" fontId="9" numFmtId="0" xfId="0" applyAlignment="1" applyBorder="1" applyFont="1">
      <alignment horizontal="center" shrinkToFit="0" wrapText="1"/>
    </xf>
    <xf borderId="15" fillId="14" fontId="4" numFmtId="0" xfId="0" applyAlignment="1" applyBorder="1" applyFill="1" applyFont="1">
      <alignment shrinkToFit="0" wrapText="1"/>
    </xf>
    <xf borderId="8" fillId="15" fontId="5" numFmtId="0" xfId="0" applyAlignment="1" applyBorder="1" applyFill="1" applyFont="1">
      <alignment horizontal="center" shrinkToFit="0" wrapText="1"/>
    </xf>
    <xf borderId="23" fillId="5" fontId="10" numFmtId="0" xfId="0" applyAlignment="1" applyBorder="1" applyFont="1">
      <alignment horizontal="left" shrinkToFit="0" vertical="center" wrapText="1"/>
    </xf>
    <xf borderId="23" fillId="5" fontId="10" numFmtId="0" xfId="0" applyAlignment="1" applyBorder="1" applyFont="1">
      <alignment horizontal="center" shrinkToFit="0" vertical="center" wrapText="1"/>
    </xf>
    <xf borderId="23" fillId="5" fontId="10" numFmtId="0" xfId="0" applyAlignment="1" applyBorder="1" applyFont="1">
      <alignment horizontal="center" shrinkToFit="0" vertical="top" wrapText="1"/>
    </xf>
    <xf borderId="23" fillId="5" fontId="11" numFmtId="0" xfId="0" applyAlignment="1" applyBorder="1" applyFont="1">
      <alignment shrinkToFit="0" wrapText="1"/>
    </xf>
    <xf borderId="0" fillId="0" fontId="4" numFmtId="0" xfId="0" applyFont="1"/>
    <xf borderId="24" fillId="0" fontId="12" numFmtId="0" xfId="0" applyAlignment="1" applyBorder="1" applyFont="1">
      <alignment shrinkToFit="0" vertical="center" wrapText="1"/>
    </xf>
    <xf borderId="24" fillId="0" fontId="13" numFmtId="0" xfId="0" applyAlignment="1" applyBorder="1" applyFont="1">
      <alignment horizontal="center" shrinkToFit="0" vertical="top" wrapText="1"/>
    </xf>
    <xf borderId="25" fillId="0" fontId="13" numFmtId="0" xfId="0" applyAlignment="1" applyBorder="1" applyFont="1">
      <alignment horizontal="center" shrinkToFit="0" vertical="top" wrapText="1"/>
    </xf>
    <xf borderId="25" fillId="16" fontId="14" numFmtId="0" xfId="0" applyAlignment="1" applyBorder="1" applyFill="1" applyFont="1">
      <alignment horizontal="center" shrinkToFit="0" vertical="top" wrapText="1"/>
    </xf>
    <xf borderId="26" fillId="17" fontId="12" numFmtId="0" xfId="0" applyAlignment="1" applyBorder="1" applyFill="1" applyFont="1">
      <alignment horizontal="left" shrinkToFit="0" vertical="center" wrapText="1"/>
    </xf>
    <xf borderId="26" fillId="17" fontId="12" numFmtId="0" xfId="0" applyAlignment="1" applyBorder="1" applyFont="1">
      <alignment horizontal="left" shrinkToFit="0" vertical="top" wrapText="1"/>
    </xf>
    <xf borderId="26" fillId="17" fontId="7" numFmtId="0" xfId="0" applyAlignment="1" applyBorder="1" applyFont="1">
      <alignment horizontal="center" shrinkToFit="0" vertical="top" wrapText="1"/>
    </xf>
    <xf borderId="26" fillId="0" fontId="4" numFmtId="0" xfId="0" applyAlignment="1" applyBorder="1" applyFont="1">
      <alignment horizontal="left" shrinkToFit="0" vertical="center" wrapText="1"/>
    </xf>
    <xf borderId="26" fillId="17" fontId="15" numFmtId="0" xfId="0" applyAlignment="1" applyBorder="1" applyFont="1">
      <alignment shrinkToFit="0" wrapText="1"/>
    </xf>
    <xf borderId="22" fillId="17" fontId="15" numFmtId="0" xfId="0" applyAlignment="1" applyBorder="1" applyFont="1">
      <alignment shrinkToFit="0" wrapText="1"/>
    </xf>
    <xf borderId="27" fillId="0" fontId="2" numFmtId="0" xfId="0" applyBorder="1" applyFont="1"/>
    <xf borderId="24" fillId="17" fontId="12" numFmtId="0" xfId="0" applyAlignment="1" applyBorder="1" applyFont="1">
      <alignment horizontal="left" shrinkToFit="0" vertical="center" wrapText="1"/>
    </xf>
    <xf borderId="24" fillId="17" fontId="12" numFmtId="0" xfId="0" applyAlignment="1" applyBorder="1" applyFont="1">
      <alignment horizontal="left" shrinkToFit="0" vertical="top" wrapText="1"/>
    </xf>
    <xf borderId="24" fillId="17" fontId="8" numFmtId="0" xfId="0" applyAlignment="1" applyBorder="1" applyFont="1">
      <alignment horizontal="center" shrinkToFit="0" vertical="top" wrapText="1"/>
    </xf>
    <xf borderId="24" fillId="0" fontId="4" numFmtId="0" xfId="0" applyAlignment="1" applyBorder="1" applyFont="1">
      <alignment horizontal="left" shrinkToFit="0" vertical="center" wrapText="1"/>
    </xf>
    <xf borderId="24" fillId="17" fontId="16" numFmtId="0" xfId="0" applyAlignment="1" applyBorder="1" applyFont="1">
      <alignment shrinkToFit="0" wrapText="1"/>
    </xf>
    <xf borderId="28" fillId="17" fontId="16" numFmtId="0" xfId="0" applyAlignment="1" applyBorder="1" applyFont="1">
      <alignment shrinkToFit="0" wrapText="1"/>
    </xf>
    <xf borderId="24" fillId="0" fontId="12" numFmtId="0" xfId="0" applyAlignment="1" applyBorder="1" applyFont="1">
      <alignment horizontal="left" shrinkToFit="0" vertical="center" wrapText="1"/>
    </xf>
    <xf borderId="24" fillId="17" fontId="17" numFmtId="0" xfId="0" applyAlignment="1" applyBorder="1" applyFont="1">
      <alignment horizontal="left" shrinkToFit="0" vertical="center" wrapText="1"/>
    </xf>
    <xf borderId="28" fillId="17" fontId="17" numFmtId="0" xfId="0" applyAlignment="1" applyBorder="1" applyFont="1">
      <alignment horizontal="left" shrinkToFit="0" vertical="center" wrapText="1"/>
    </xf>
    <xf borderId="24" fillId="0" fontId="4" numFmtId="0" xfId="0" applyAlignment="1" applyBorder="1" applyFont="1">
      <alignment shrinkToFit="0" vertical="center" wrapText="1"/>
    </xf>
    <xf borderId="24" fillId="18" fontId="17" numFmtId="0" xfId="0" applyAlignment="1" applyBorder="1" applyFill="1" applyFont="1">
      <alignment horizontal="left" shrinkToFit="0" vertical="center" wrapText="1"/>
    </xf>
    <xf borderId="28" fillId="18" fontId="17" numFmtId="0" xfId="0" applyAlignment="1" applyBorder="1" applyFont="1">
      <alignment horizontal="left" shrinkToFit="0" vertical="center" wrapText="1"/>
    </xf>
    <xf borderId="24" fillId="0" fontId="12" numFmtId="0" xfId="0" applyAlignment="1" applyBorder="1" applyFont="1">
      <alignment horizontal="left" shrinkToFit="0" vertical="top" wrapText="1"/>
    </xf>
    <xf borderId="24" fillId="0" fontId="18" numFmtId="0" xfId="0" applyAlignment="1" applyBorder="1" applyFont="1">
      <alignment horizontal="left" shrinkToFit="0" vertical="center" wrapText="1"/>
    </xf>
    <xf borderId="28" fillId="0" fontId="12" numFmtId="0" xfId="0" applyAlignment="1" applyBorder="1" applyFont="1">
      <alignment horizontal="left" shrinkToFit="0" vertical="center" wrapText="1"/>
    </xf>
    <xf borderId="29" fillId="0" fontId="2" numFmtId="0" xfId="0" applyBorder="1" applyFont="1"/>
    <xf borderId="24" fillId="0" fontId="19" numFmtId="0" xfId="0" applyAlignment="1" applyBorder="1" applyFont="1">
      <alignment horizontal="left" shrinkToFit="0" vertical="center" wrapText="1"/>
    </xf>
    <xf borderId="25" fillId="0" fontId="12" numFmtId="0" xfId="0" applyAlignment="1" applyBorder="1" applyFont="1">
      <alignment horizontal="center" shrinkToFit="0" vertical="center" wrapText="1"/>
    </xf>
    <xf borderId="24" fillId="0" fontId="20" numFmtId="0" xfId="0" applyAlignment="1" applyBorder="1" applyFont="1">
      <alignment horizontal="left" shrinkToFit="0" vertical="center" wrapText="1"/>
    </xf>
    <xf borderId="24" fillId="0" fontId="21" numFmtId="0" xfId="0" applyAlignment="1" applyBorder="1" applyFont="1">
      <alignment horizontal="left" shrinkToFit="0" vertical="center" wrapText="1"/>
    </xf>
    <xf borderId="24" fillId="0" fontId="22" numFmtId="0" xfId="0" applyAlignment="1" applyBorder="1" applyFont="1">
      <alignment horizontal="left" shrinkToFit="0" vertical="center" wrapText="1"/>
    </xf>
    <xf borderId="24" fillId="18" fontId="4" numFmtId="0" xfId="0" applyAlignment="1" applyBorder="1" applyFont="1">
      <alignment horizontal="left" shrinkToFit="0" vertical="center" wrapText="1"/>
    </xf>
    <xf borderId="24" fillId="18" fontId="12" numFmtId="0" xfId="0" applyAlignment="1" applyBorder="1" applyFont="1">
      <alignment horizontal="left" shrinkToFit="0" vertical="center" wrapText="1"/>
    </xf>
    <xf borderId="28" fillId="18" fontId="12" numFmtId="0" xfId="0" applyAlignment="1" applyBorder="1" applyFont="1">
      <alignment horizontal="left" shrinkToFit="0" vertical="center" wrapText="1"/>
    </xf>
    <xf borderId="24" fillId="19" fontId="23" numFmtId="0" xfId="0" applyAlignment="1" applyBorder="1" applyFill="1" applyFont="1">
      <alignment horizontal="left" shrinkToFit="0" vertical="center" wrapText="1"/>
    </xf>
    <xf borderId="24" fillId="0" fontId="4" numFmtId="0" xfId="0" applyBorder="1" applyFont="1"/>
    <xf borderId="24" fillId="0" fontId="4" numFmtId="0" xfId="0" applyAlignment="1" applyBorder="1" applyFont="1">
      <alignment horizontal="left" shrinkToFit="0" wrapText="1"/>
    </xf>
    <xf borderId="30" fillId="0" fontId="2" numFmtId="0" xfId="0" applyBorder="1" applyFont="1"/>
    <xf borderId="25" fillId="0" fontId="4" numFmtId="0" xfId="0" applyBorder="1" applyFont="1"/>
    <xf borderId="31" fillId="0" fontId="12" numFmtId="0" xfId="0" applyAlignment="1" applyBorder="1" applyFont="1">
      <alignment horizontal="left" shrinkToFit="0" vertical="center" wrapText="1"/>
    </xf>
    <xf borderId="31" fillId="0" fontId="18" numFmtId="0" xfId="0" applyAlignment="1" applyBorder="1" applyFont="1">
      <alignment horizontal="left" shrinkToFit="0" vertical="center" wrapText="1"/>
    </xf>
    <xf borderId="31" fillId="0" fontId="4" numFmtId="0" xfId="0" applyAlignment="1" applyBorder="1" applyFont="1">
      <alignment horizontal="left" shrinkToFit="0" vertical="center" wrapText="1"/>
    </xf>
    <xf borderId="32" fillId="0" fontId="12" numFmtId="0" xfId="0" applyAlignment="1" applyBorder="1" applyFont="1">
      <alignment horizontal="left" shrinkToFit="0" vertical="center" wrapText="1"/>
    </xf>
    <xf borderId="33" fillId="20" fontId="24" numFmtId="0" xfId="0" applyAlignment="1" applyBorder="1" applyFill="1" applyFont="1">
      <alignment horizontal="center"/>
    </xf>
    <xf borderId="34" fillId="0" fontId="2" numFmtId="0" xfId="0" applyBorder="1" applyFont="1"/>
    <xf borderId="35" fillId="0" fontId="2" numFmtId="0" xfId="0" applyBorder="1" applyFont="1"/>
    <xf borderId="0" fillId="0" fontId="25" numFmtId="0" xfId="0" applyFont="1"/>
    <xf borderId="4" fillId="4" fontId="26" numFmtId="0" xfId="0" applyBorder="1" applyFont="1"/>
    <xf borderId="24" fillId="0" fontId="27" numFmtId="0" xfId="0" applyBorder="1" applyFont="1"/>
    <xf borderId="0" fillId="0" fontId="28" numFmtId="0" xfId="0" applyFont="1"/>
    <xf borderId="24" fillId="0" fontId="25" numFmtId="0" xfId="0" applyAlignment="1" applyBorder="1" applyFont="1">
      <alignment horizontal="center"/>
    </xf>
    <xf borderId="36" fillId="0" fontId="25" numFmtId="0" xfId="0" applyBorder="1" applyFont="1"/>
    <xf borderId="24" fillId="0" fontId="29" numFmtId="0" xfId="0" applyBorder="1" applyFont="1"/>
    <xf borderId="24" fillId="17" fontId="30" numFmtId="0" xfId="0" applyBorder="1" applyFont="1"/>
    <xf borderId="24" fillId="0" fontId="25" numFmtId="0" xfId="0" applyBorder="1" applyFont="1"/>
    <xf borderId="29" fillId="0" fontId="31" numFmtId="0" xfId="0" applyBorder="1" applyFont="1"/>
    <xf borderId="24" fillId="0" fontId="31" numFmtId="0" xfId="0" applyBorder="1" applyFont="1"/>
    <xf borderId="37" fillId="21" fontId="32" numFmtId="0" xfId="0" applyAlignment="1" applyBorder="1" applyFill="1" applyFont="1">
      <alignment horizontal="center" shrinkToFit="0" vertical="center" wrapText="1"/>
    </xf>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22" fontId="33" numFmtId="0" xfId="0" applyAlignment="1" applyBorder="1" applyFill="1" applyFont="1">
      <alignment horizontal="center" shrinkToFit="0" vertical="top" wrapText="1"/>
    </xf>
    <xf borderId="44" fillId="22" fontId="33" numFmtId="0" xfId="0" applyAlignment="1" applyBorder="1" applyFont="1">
      <alignment horizontal="center" shrinkToFit="0" vertical="top" wrapText="1"/>
    </xf>
    <xf borderId="45" fillId="22" fontId="33" numFmtId="0" xfId="0" applyAlignment="1" applyBorder="1" applyFont="1">
      <alignment horizontal="center" shrinkToFit="0" vertical="top" wrapText="1"/>
    </xf>
    <xf borderId="24" fillId="23" fontId="13" numFmtId="0" xfId="0" applyAlignment="1" applyBorder="1" applyFill="1" applyFont="1">
      <alignment horizontal="center" shrinkToFit="0" vertical="center" wrapText="1"/>
    </xf>
    <xf borderId="46" fillId="22" fontId="33" numFmtId="0" xfId="0" applyAlignment="1" applyBorder="1" applyFont="1">
      <alignment horizontal="center" shrinkToFit="0" vertical="top" wrapText="1"/>
    </xf>
    <xf borderId="0" fillId="0" fontId="29" numFmtId="0" xfId="0" applyFont="1"/>
    <xf borderId="0" fillId="0" fontId="29" numFmtId="0" xfId="0" applyAlignment="1" applyFont="1">
      <alignment vertical="center"/>
    </xf>
    <xf borderId="43" fillId="24" fontId="4" numFmtId="0" xfId="0" applyAlignment="1" applyBorder="1" applyFill="1" applyFont="1">
      <alignment vertical="center"/>
    </xf>
    <xf borderId="44" fillId="9" fontId="4" numFmtId="0" xfId="0" applyAlignment="1" applyBorder="1" applyFont="1">
      <alignment horizontal="center" vertical="center"/>
    </xf>
    <xf borderId="44" fillId="10" fontId="4" numFmtId="0" xfId="0" applyAlignment="1" applyBorder="1" applyFont="1">
      <alignment horizontal="center" vertical="center"/>
    </xf>
    <xf borderId="44" fillId="11" fontId="4" numFmtId="0" xfId="0" applyAlignment="1" applyBorder="1" applyFont="1">
      <alignment horizontal="center" vertical="center"/>
    </xf>
    <xf borderId="44" fillId="25" fontId="4" numFmtId="0" xfId="0" applyAlignment="1" applyBorder="1" applyFill="1" applyFont="1">
      <alignment horizontal="center" vertical="center"/>
    </xf>
    <xf borderId="46" fillId="26" fontId="12" numFmtId="0" xfId="0" applyAlignment="1" applyBorder="1" applyFill="1" applyFont="1">
      <alignment horizontal="center" vertical="center"/>
    </xf>
    <xf borderId="0" fillId="0" fontId="28" numFmtId="0" xfId="0" applyAlignment="1" applyFont="1">
      <alignment vertical="center"/>
    </xf>
    <xf borderId="47" fillId="6" fontId="34" numFmtId="0" xfId="0" applyAlignment="1" applyBorder="1" applyFont="1">
      <alignment horizontal="center"/>
    </xf>
    <xf borderId="48" fillId="6" fontId="34" numFmtId="0" xfId="0" applyAlignment="1" applyBorder="1" applyFont="1">
      <alignment horizontal="center"/>
    </xf>
    <xf borderId="48" fillId="6" fontId="34" numFmtId="0" xfId="0" applyAlignment="1" applyBorder="1" applyFont="1">
      <alignment horizontal="center" shrinkToFit="0" wrapText="1"/>
    </xf>
    <xf borderId="49" fillId="6" fontId="34" numFmtId="0" xfId="0" applyAlignment="1" applyBorder="1" applyFont="1">
      <alignment horizontal="center"/>
    </xf>
    <xf borderId="0" fillId="0" fontId="25" numFmtId="0" xfId="0" applyAlignment="1" applyFont="1">
      <alignment horizontal="right"/>
    </xf>
    <xf borderId="0" fillId="0" fontId="25" numFmtId="0" xfId="0" applyAlignment="1" applyFont="1">
      <alignment vertical="top"/>
    </xf>
    <xf borderId="15" fillId="27" fontId="22" numFmtId="0" xfId="0" applyAlignment="1" applyBorder="1" applyFill="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shrinkToFit="0" vertical="center" wrapText="1"/>
    </xf>
  </cellXfs>
  <cellStyles count="1">
    <cellStyle xfId="0" name="Normal" builtinId="0"/>
  </cellStyles>
  <dxfs count="11">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
      <font>
        <color rgb="FF006100"/>
      </font>
      <fill>
        <patternFill patternType="solid">
          <fgColor rgb="FFC6EFCE"/>
          <bgColor rgb="FFC6EFCE"/>
        </patternFill>
      </fill>
      <border/>
    </dxf>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color rgb="FF9C0006"/>
      </font>
      <fill>
        <patternFill patternType="solid">
          <fgColor rgb="FFFFC7CE"/>
          <bgColor rgb="FFFFC7CE"/>
        </patternFill>
      </fill>
      <border/>
    </dxf>
    <dxf>
      <font/>
      <fill>
        <patternFill patternType="solid">
          <fgColor rgb="FFEF3F2D"/>
          <bgColor rgb="FFEF3F2D"/>
        </patternFill>
      </fill>
      <border/>
    </dxf>
    <dxf>
      <font/>
      <fill>
        <patternFill patternType="solid">
          <fgColor rgb="FFA8D08D"/>
          <bgColor rgb="FFA8D08D"/>
        </patternFill>
      </fill>
      <border/>
    </dxf>
  </dxfs>
  <tableStyles count="1">
    <tableStyle count="3" pivot="0" name="Bug report-style">
      <tableStyleElement dxfId="6" type="headerRow"/>
      <tableStyleElement dxfId="7"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Test exicution chart</a:t>
            </a:r>
          </a:p>
        </c:rich>
      </c:tx>
      <c:overlay val="0"/>
    </c:title>
    <c:plotArea>
      <c:layout/>
      <c:pieChart>
        <c:varyColors val="1"/>
        <c:ser>
          <c:idx val="0"/>
          <c:order val="0"/>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Lbls>
            <c:dLbl>
              <c:idx val="0"/>
              <c:tx>
                <c:rich>
                  <a:bodyPr/>
                  <a:lstStyle/>
                  <a:p>
                    <a:pPr lvl="0">
                      <a:defRPr b="0">
                        <a:solidFill>
                          <a:srgbClr val="000000"/>
                        </a:solidFill>
                        <a:latin typeface="+mn-lt"/>
                      </a:defRPr>
                    </a:pPr>
                    <a:r>
                      <a:rPr b="0">
                        <a:solidFill>
                          <a:srgbClr val="000000"/>
                        </a:solidFill>
                        <a:latin typeface="+mn-lt"/>
                      </a:rPr>
                      <a:t>PASS[PERCENTAGE]</a:t>
                    </a:r>
                  </a:p>
                </c:rich>
              </c:tx>
              <c:showLegendKey val="0"/>
              <c:showVal val="0"/>
              <c:showCatName val="0"/>
              <c:showSerName val="0"/>
              <c:showPercent val="1"/>
              <c:showBubbleSize val="0"/>
            </c:dLbl>
            <c:dLbl>
              <c:idx val="1"/>
              <c:tx>
                <c:rich>
                  <a:bodyPr/>
                  <a:lstStyle/>
                  <a:p>
                    <a:pPr lvl="0">
                      <a:defRPr b="0">
                        <a:solidFill>
                          <a:srgbClr val="000000"/>
                        </a:solidFill>
                        <a:latin typeface="+mn-lt"/>
                      </a:defRPr>
                    </a:pPr>
                    <a:r>
                      <a:rPr b="0">
                        <a:solidFill>
                          <a:srgbClr val="000000"/>
                        </a:solidFill>
                        <a:latin typeface="+mn-lt"/>
                      </a:rPr>
                      <a:t>FAIL[PERCENTAGE]</a:t>
                    </a:r>
                  </a:p>
                </c:rich>
              </c:tx>
              <c:showLegendKey val="0"/>
              <c:showVal val="0"/>
              <c:showCatName val="0"/>
              <c:showSerName val="0"/>
              <c:showPercent val="1"/>
              <c:showBubbleSize val="0"/>
            </c:dLbl>
            <c:dLbl>
              <c:idx val="2"/>
              <c:tx>
                <c:rich>
                  <a:bodyPr/>
                  <a:lstStyle/>
                  <a:p>
                    <a:pPr lvl="0">
                      <a:defRPr b="0">
                        <a:solidFill>
                          <a:srgbClr val="000000"/>
                        </a:solidFill>
                        <a:latin typeface="+mn-lt"/>
                      </a:defRPr>
                    </a:pPr>
                    <a:r>
                      <a:rPr b="0">
                        <a:solidFill>
                          <a:srgbClr val="000000"/>
                        </a:solidFill>
                        <a:latin typeface="+mn-lt"/>
                      </a:rPr>
                      <a:t>IMPROVING AREA[PERCENTAGE]</a:t>
                    </a:r>
                  </a:p>
                </c:rich>
              </c:tx>
              <c:showLegendKey val="0"/>
              <c:showVal val="0"/>
              <c:showCatName val="0"/>
              <c:showSerName val="0"/>
              <c:showPercent val="1"/>
              <c:showBubbleSize val="0"/>
            </c:dLbl>
            <c:dLbl>
              <c:idx val="3"/>
              <c:tx>
                <c:rich>
                  <a:bodyPr/>
                  <a:lstStyle/>
                  <a:p>
                    <a:pPr lvl="0">
                      <a:defRPr b="0">
                        <a:solidFill>
                          <a:srgbClr val="000000"/>
                        </a:solidFill>
                        <a:latin typeface="+mn-lt"/>
                      </a:defRPr>
                    </a:pPr>
                    <a:r>
                      <a:rPr b="0">
                        <a:solidFill>
                          <a:srgbClr val="000000"/>
                        </a:solidFill>
                        <a:latin typeface="+mn-lt"/>
                      </a:rPr>
                      <a:t>OUT OF SCOPE[PERCENTAGE]</a:t>
                    </a:r>
                  </a:p>
                </c:rich>
              </c:tx>
              <c:showLegendKey val="0"/>
              <c:showVal val="0"/>
              <c:showCatName val="0"/>
              <c:showSerName val="0"/>
              <c:showPercent val="1"/>
              <c:showBubbleSize val="0"/>
            </c:dLbl>
            <c:showLegendKey val="0"/>
            <c:showVal val="0"/>
            <c:showCatName val="0"/>
            <c:showSerName val="0"/>
            <c:showPercent val="1"/>
            <c:showBubbleSize val="0"/>
            <c:showLeaderLines val="1"/>
          </c:dLbls>
          <c:cat>
            <c:strRef>
              <c:f>'Test Case'!$K$9:$K$12</c:f>
            </c:strRef>
          </c:cat>
          <c:val>
            <c:numRef>
              <c:f>'Test Case'!$K$9:$K$12</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i="0" sz="900">
              <a:solidFill>
                <a:schemeClr val="lt1"/>
              </a:solidFill>
              <a:latin typeface="+mn-lt"/>
            </a:defRPr>
          </a:pPr>
        </a:p>
      </c:txPr>
    </c:legend>
    <c:plotVisOnly val="1"/>
  </c:chart>
  <c:spPr>
    <a:solidFill>
      <a:schemeClr val="dk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Test exicution chart </a:t>
            </a:r>
          </a:p>
        </c:rich>
      </c:tx>
      <c:overlay val="0"/>
    </c:title>
    <c:plotArea>
      <c:layout/>
      <c:barChart>
        <c:barDir val="bar"/>
        <c:ser>
          <c:idx val="0"/>
          <c:order val="0"/>
          <c:tx>
            <c:v>PASS</c:v>
          </c:tx>
          <c:spPr>
            <a:solidFill>
              <a:schemeClr val="accent1"/>
            </a:solidFill>
            <a:ln cmpd="sng">
              <a:solidFill>
                <a:srgbClr val="000000"/>
              </a:solidFill>
            </a:ln>
          </c:spPr>
          <c:val>
            <c:numRef>
              <c:f>'Bug report'!$C$13</c:f>
              <c:numCache/>
            </c:numRef>
          </c:val>
        </c:ser>
        <c:ser>
          <c:idx val="1"/>
          <c:order val="1"/>
          <c:tx>
            <c:v>FAIL</c:v>
          </c:tx>
          <c:spPr>
            <a:solidFill>
              <a:schemeClr val="accent2"/>
            </a:solidFill>
            <a:ln cmpd="sng">
              <a:solidFill>
                <a:srgbClr val="000000"/>
              </a:solidFill>
            </a:ln>
          </c:spPr>
          <c:val>
            <c:numRef>
              <c:f>'Bug report'!$D$13</c:f>
              <c:numCache/>
            </c:numRef>
          </c:val>
        </c:ser>
        <c:ser>
          <c:idx val="2"/>
          <c:order val="2"/>
          <c:tx>
            <c:v>Improving Area</c:v>
          </c:tx>
          <c:spPr>
            <a:solidFill>
              <a:schemeClr val="accent3"/>
            </a:solidFill>
            <a:ln cmpd="sng">
              <a:solidFill>
                <a:srgbClr val="000000"/>
              </a:solidFill>
            </a:ln>
          </c:spPr>
          <c:val>
            <c:numRef>
              <c:f>'Bug report'!$E$13</c:f>
              <c:numCache/>
            </c:numRef>
          </c:val>
        </c:ser>
        <c:ser>
          <c:idx val="3"/>
          <c:order val="3"/>
          <c:tx>
            <c:v>Out Of Scope</c:v>
          </c:tx>
          <c:spPr>
            <a:solidFill>
              <a:schemeClr val="accent4"/>
            </a:solidFill>
            <a:ln cmpd="sng">
              <a:solidFill>
                <a:srgbClr val="000000"/>
              </a:solidFill>
            </a:ln>
          </c:spPr>
          <c:val>
            <c:numRef>
              <c:f>'Bug report'!$F$13</c:f>
              <c:numCache/>
            </c:numRef>
          </c:val>
        </c:ser>
        <c:axId val="672234728"/>
        <c:axId val="1300628086"/>
      </c:barChart>
      <c:catAx>
        <c:axId val="6722347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chemeClr val="lt1"/>
                </a:solidFill>
                <a:latin typeface="+mn-lt"/>
              </a:defRPr>
            </a:pPr>
          </a:p>
        </c:txPr>
        <c:crossAx val="1300628086"/>
      </c:catAx>
      <c:valAx>
        <c:axId val="130062808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chemeClr val="lt1"/>
                </a:solidFill>
                <a:latin typeface="+mn-lt"/>
              </a:defRPr>
            </a:pPr>
          </a:p>
        </c:txPr>
        <c:crossAx val="672234728"/>
        <c:crosses val="max"/>
      </c:valAx>
    </c:plotArea>
    <c:plotVisOnly val="1"/>
  </c:chart>
  <c:spPr>
    <a:solidFill>
      <a:schemeClr val="dk1"/>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10791825" cy="2095500"/>
    <xdr:graphicFrame>
      <xdr:nvGraphicFramePr>
        <xdr:cNvPr id="206771654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314325</xdr:colOff>
      <xdr:row>10</xdr:row>
      <xdr:rowOff>47625</xdr:rowOff>
    </xdr:from>
    <xdr:ext cx="4514850" cy="2514600"/>
    <xdr:graphicFrame>
      <xdr:nvGraphicFramePr>
        <xdr:cNvPr id="100863467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B17:G28" displayName="Table_1" name="Table_1" id="1">
  <tableColumns count="6">
    <tableColumn name="Issue Description" id="1"/>
    <tableColumn name="Steps to Reproduce" id="2"/>
    <tableColumn name="Expected Behavior" id="3"/>
    <tableColumn name="Actual Behavior" id="4"/>
    <tableColumn name="Priority" id="5"/>
    <tableColumn name="Severity" id="6"/>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etflix.com/login" TargetMode="External"/><Relationship Id="rId2" Type="http://schemas.openxmlformats.org/officeDocument/2006/relationships/hyperlink" Target="https://drive.google.com/file/d/10g_17ffCZcu6Vk9aiakvBDeU8qsH9UP-/view?usp=sharing" TargetMode="External"/><Relationship Id="rId3" Type="http://schemas.openxmlformats.org/officeDocument/2006/relationships/hyperlink" Target="https://drive.google.com/file/d/1stwrgh_QY64TVkyofgJJaBd6Jfb1fHvi/view?usp=sharing" TargetMode="External"/><Relationship Id="rId4" Type="http://schemas.openxmlformats.org/officeDocument/2006/relationships/hyperlink" Target="https://drive.google.com/file/d/1stwrgh_QY64TVkyofgJJaBd6Jfb1fHvi/view?usp=drive_link" TargetMode="External"/><Relationship Id="rId9" Type="http://schemas.openxmlformats.org/officeDocument/2006/relationships/drawing" Target="../drawings/drawing1.xml"/><Relationship Id="rId5" Type="http://schemas.openxmlformats.org/officeDocument/2006/relationships/hyperlink" Target="https://drive.google.com/file/d/1W6bhBdg3gNu6za5_HhwOIn7-qorg8iJ9/view?usp=sharing" TargetMode="External"/><Relationship Id="rId6" Type="http://schemas.openxmlformats.org/officeDocument/2006/relationships/hyperlink" Target="https://drive.google.com/file/d/1IlZa19Ifq59FiAMVYALdD6QEJE1GrBO6/view?usp=drive_link" TargetMode="External"/><Relationship Id="rId7" Type="http://schemas.openxmlformats.org/officeDocument/2006/relationships/hyperlink" Target="https://drive.google.com/file/d/1cF_W_zpBNO1KL__DWi9EyviHEnnbrl9T/view?usp=drive_link" TargetMode="External"/><Relationship Id="rId8" Type="http://schemas.openxmlformats.org/officeDocument/2006/relationships/hyperlink" Target="https://drive.google.com/file/d/1L8OTyA5okBv_QiDMgYf8g7OfmlZhQzI2/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8.57"/>
    <col customWidth="1" min="3" max="3" width="16.57"/>
    <col customWidth="1" min="4" max="4" width="23.0"/>
    <col customWidth="1" min="5" max="5" width="24.0"/>
    <col customWidth="1" min="6" max="6" width="19.43"/>
    <col customWidth="1" min="7" max="7" width="14.43"/>
    <col customWidth="1" min="8" max="8" width="11.43"/>
    <col customWidth="1" min="9" max="9" width="40.71"/>
    <col customWidth="1" min="10" max="10" width="17.43"/>
    <col customWidth="1" min="11" max="11" width="16.43"/>
    <col customWidth="1" min="12" max="12" width="12.29"/>
    <col customWidth="1" min="13" max="13" width="10.0"/>
    <col customWidth="1" min="14" max="28" width="10.71"/>
  </cols>
  <sheetData>
    <row r="1">
      <c r="A1" s="1" t="s">
        <v>0</v>
      </c>
      <c r="B1" s="2"/>
      <c r="C1" s="3"/>
      <c r="D1" s="4" t="s">
        <v>1</v>
      </c>
      <c r="E1" s="5"/>
      <c r="F1" s="5"/>
      <c r="G1" s="5"/>
      <c r="H1" s="5"/>
      <c r="I1" s="5"/>
      <c r="J1" s="5"/>
      <c r="K1" s="5"/>
      <c r="L1" s="5"/>
      <c r="M1" s="5"/>
      <c r="N1" s="5"/>
      <c r="O1" s="5"/>
      <c r="P1" s="5"/>
    </row>
    <row r="2">
      <c r="A2" s="1" t="s">
        <v>2</v>
      </c>
      <c r="B2" s="2"/>
      <c r="C2" s="3"/>
      <c r="D2" s="6" t="s">
        <v>3</v>
      </c>
      <c r="E2" s="7"/>
      <c r="F2" s="7"/>
      <c r="G2" s="7"/>
      <c r="H2" s="7"/>
      <c r="I2" s="7"/>
      <c r="J2" s="7"/>
      <c r="K2" s="7"/>
      <c r="L2" s="7"/>
      <c r="M2" s="7"/>
      <c r="N2" s="7"/>
      <c r="O2" s="7"/>
      <c r="P2" s="7"/>
    </row>
    <row r="3">
      <c r="A3" s="1" t="s">
        <v>4</v>
      </c>
      <c r="B3" s="2"/>
      <c r="C3" s="3"/>
      <c r="D3" s="5" t="s">
        <v>5</v>
      </c>
      <c r="E3" s="5"/>
      <c r="F3" s="5"/>
      <c r="G3" s="5"/>
      <c r="H3" s="5"/>
      <c r="I3" s="5"/>
      <c r="J3" s="5"/>
      <c r="K3" s="5"/>
      <c r="L3" s="5"/>
      <c r="M3" s="5"/>
      <c r="N3" s="5"/>
      <c r="O3" s="5"/>
      <c r="P3" s="5"/>
    </row>
    <row r="4" ht="18.0" customHeight="1">
      <c r="A4" s="1" t="s">
        <v>6</v>
      </c>
      <c r="B4" s="2"/>
      <c r="C4" s="3"/>
      <c r="D4" s="7" t="s">
        <v>7</v>
      </c>
      <c r="E4" s="7"/>
      <c r="F4" s="7"/>
      <c r="G4" s="7"/>
      <c r="H4" s="7"/>
      <c r="I4" s="7"/>
      <c r="J4" s="7"/>
      <c r="K4" s="7"/>
      <c r="L4" s="7"/>
      <c r="M4" s="7"/>
      <c r="N4" s="7"/>
      <c r="O4" s="7"/>
      <c r="P4" s="7"/>
    </row>
    <row r="5" hidden="1"/>
    <row r="6" ht="16.5" customHeight="1">
      <c r="A6" s="8"/>
      <c r="B6" s="9"/>
      <c r="C6" s="9"/>
      <c r="D6" s="9"/>
      <c r="E6" s="9"/>
      <c r="F6" s="9"/>
      <c r="G6" s="9"/>
      <c r="H6" s="9"/>
      <c r="I6" s="9"/>
      <c r="J6" s="9"/>
      <c r="K6" s="9"/>
      <c r="L6" s="9"/>
      <c r="M6" s="9"/>
      <c r="N6" s="9"/>
      <c r="O6" s="9"/>
      <c r="P6" s="10"/>
    </row>
    <row r="7">
      <c r="A7" s="11" t="s">
        <v>8</v>
      </c>
      <c r="B7" s="12"/>
      <c r="C7" s="12"/>
      <c r="D7" s="12"/>
      <c r="E7" s="12"/>
      <c r="F7" s="12"/>
      <c r="G7" s="12"/>
      <c r="H7" s="12"/>
      <c r="I7" s="12"/>
      <c r="J7" s="12"/>
      <c r="K7" s="12"/>
      <c r="L7" s="12"/>
      <c r="M7" s="12"/>
      <c r="N7" s="12"/>
      <c r="O7" s="12"/>
      <c r="P7" s="13"/>
      <c r="Q7" s="14"/>
      <c r="R7" s="14"/>
      <c r="S7" s="14"/>
      <c r="T7" s="14"/>
      <c r="U7" s="14"/>
      <c r="V7" s="14"/>
      <c r="W7" s="14"/>
      <c r="X7" s="14"/>
      <c r="Y7" s="14"/>
      <c r="Z7" s="14"/>
      <c r="AA7" s="14"/>
      <c r="AB7" s="14"/>
    </row>
    <row r="8">
      <c r="A8" s="15"/>
      <c r="B8" s="15"/>
      <c r="C8" s="15"/>
      <c r="D8" s="15"/>
      <c r="E8" s="15"/>
      <c r="F8" s="15"/>
      <c r="G8" s="15"/>
      <c r="H8" s="15"/>
      <c r="I8" s="15"/>
      <c r="J8" s="16" t="s">
        <v>9</v>
      </c>
      <c r="K8" s="17"/>
      <c r="L8" s="17"/>
      <c r="M8" s="17"/>
      <c r="N8" s="17"/>
      <c r="O8" s="17"/>
      <c r="P8" s="18"/>
      <c r="Q8" s="14"/>
      <c r="R8" s="14"/>
      <c r="S8" s="14"/>
      <c r="T8" s="14"/>
      <c r="U8" s="14"/>
      <c r="V8" s="14"/>
      <c r="W8" s="14"/>
      <c r="X8" s="14"/>
      <c r="Y8" s="14"/>
      <c r="Z8" s="14"/>
      <c r="AA8" s="14"/>
      <c r="AB8" s="14"/>
    </row>
    <row r="9" ht="16.5" customHeight="1">
      <c r="A9" s="19"/>
      <c r="B9" s="19"/>
      <c r="C9" s="19"/>
      <c r="D9" s="19"/>
      <c r="E9" s="19"/>
      <c r="F9" s="19"/>
      <c r="G9" s="19"/>
      <c r="H9" s="19"/>
      <c r="I9" s="20"/>
      <c r="J9" s="21" t="s">
        <v>10</v>
      </c>
      <c r="K9" s="22">
        <f>COUNTIF(L15:L80, "Passed")</f>
        <v>46</v>
      </c>
      <c r="L9" s="23"/>
      <c r="M9" s="23"/>
      <c r="N9" s="23"/>
      <c r="O9" s="23"/>
      <c r="P9" s="24"/>
      <c r="Q9" s="14"/>
      <c r="R9" s="14"/>
      <c r="S9" s="14"/>
      <c r="T9" s="14"/>
      <c r="U9" s="14"/>
      <c r="V9" s="14"/>
      <c r="W9" s="14"/>
      <c r="X9" s="14"/>
      <c r="Y9" s="14"/>
      <c r="Z9" s="14"/>
      <c r="AA9" s="14"/>
    </row>
    <row r="10" ht="31.5" customHeight="1">
      <c r="A10" s="19"/>
      <c r="B10" s="19"/>
      <c r="C10" s="19"/>
      <c r="D10" s="19"/>
      <c r="E10" s="19"/>
      <c r="F10" s="19"/>
      <c r="G10" s="19"/>
      <c r="H10" s="19"/>
      <c r="I10" s="20"/>
      <c r="J10" s="25" t="s">
        <v>11</v>
      </c>
      <c r="K10" s="26">
        <f>COUNTIF(L15:L332, "Failed")</f>
        <v>11</v>
      </c>
      <c r="L10" s="9"/>
      <c r="M10" s="9"/>
      <c r="N10" s="9"/>
      <c r="O10" s="9"/>
      <c r="P10" s="10"/>
      <c r="Q10" s="14"/>
      <c r="R10" s="14"/>
      <c r="S10" s="14"/>
      <c r="T10" s="14"/>
      <c r="U10" s="14"/>
      <c r="V10" s="14"/>
      <c r="W10" s="14"/>
      <c r="X10" s="14"/>
    </row>
    <row r="11" ht="32.25" customHeight="1">
      <c r="A11" s="19"/>
      <c r="B11" s="19"/>
      <c r="C11" s="19"/>
      <c r="D11" s="19"/>
      <c r="E11" s="19"/>
      <c r="F11" s="19"/>
      <c r="G11" s="19"/>
      <c r="H11" s="19"/>
      <c r="I11" s="20"/>
      <c r="J11" s="27" t="s">
        <v>12</v>
      </c>
      <c r="K11" s="26">
        <f>COUNTIF(L15:L80, "Improving area")</f>
        <v>4</v>
      </c>
      <c r="L11" s="9"/>
      <c r="M11" s="9"/>
      <c r="N11" s="9"/>
      <c r="O11" s="9"/>
      <c r="P11" s="10"/>
      <c r="Q11" s="14"/>
      <c r="R11" s="14"/>
      <c r="S11" s="14"/>
      <c r="T11" s="14"/>
      <c r="U11" s="14"/>
      <c r="V11" s="14"/>
      <c r="W11" s="14"/>
      <c r="X11" s="14"/>
      <c r="Y11" s="14"/>
    </row>
    <row r="12" ht="36.0" customHeight="1">
      <c r="A12" s="19"/>
      <c r="B12" s="19"/>
      <c r="C12" s="19"/>
      <c r="D12" s="19"/>
      <c r="E12" s="19"/>
      <c r="F12" s="19"/>
      <c r="G12" s="19"/>
      <c r="H12" s="19"/>
      <c r="I12" s="20"/>
      <c r="J12" s="28" t="s">
        <v>13</v>
      </c>
      <c r="K12" s="29">
        <f>COUNTIF(L14:L332, "Out of Scope")</f>
        <v>3</v>
      </c>
      <c r="L12" s="9"/>
      <c r="M12" s="9"/>
      <c r="N12" s="9"/>
      <c r="O12" s="9"/>
      <c r="P12" s="10"/>
      <c r="Q12" s="14"/>
      <c r="R12" s="14"/>
      <c r="S12" s="14"/>
      <c r="T12" s="14"/>
      <c r="U12" s="14"/>
      <c r="V12" s="14"/>
      <c r="W12" s="14"/>
      <c r="X12" s="14"/>
      <c r="Y12" s="14"/>
    </row>
    <row r="13" ht="32.25" customHeight="1">
      <c r="A13" s="19"/>
      <c r="B13" s="19"/>
      <c r="C13" s="19"/>
      <c r="D13" s="19"/>
      <c r="E13" s="19"/>
      <c r="F13" s="19"/>
      <c r="G13" s="19"/>
      <c r="H13" s="19"/>
      <c r="I13" s="20"/>
      <c r="J13" s="30" t="s">
        <v>14</v>
      </c>
      <c r="K13" s="31">
        <f>SUM(K9:P12)</f>
        <v>64</v>
      </c>
      <c r="L13" s="9"/>
      <c r="M13" s="9"/>
      <c r="N13" s="9"/>
      <c r="O13" s="9"/>
      <c r="P13" s="10"/>
      <c r="Q13" s="14"/>
      <c r="R13" s="14"/>
      <c r="S13" s="14"/>
      <c r="T13" s="14"/>
      <c r="U13" s="14"/>
      <c r="V13" s="14"/>
      <c r="W13" s="14"/>
      <c r="X13" s="14"/>
      <c r="Y13" s="14"/>
    </row>
    <row r="14" ht="24.0" customHeight="1">
      <c r="A14" s="32"/>
      <c r="B14" s="32"/>
      <c r="C14" s="32"/>
      <c r="D14" s="32"/>
      <c r="E14" s="32"/>
      <c r="F14" s="32"/>
      <c r="G14" s="32"/>
      <c r="H14" s="32"/>
      <c r="I14" s="32"/>
      <c r="J14" s="32"/>
      <c r="K14" s="32"/>
      <c r="L14" s="32"/>
      <c r="M14" s="32"/>
      <c r="N14" s="32"/>
      <c r="O14" s="32"/>
      <c r="P14" s="32"/>
      <c r="Q14" s="14"/>
      <c r="R14" s="14"/>
      <c r="S14" s="14"/>
      <c r="T14" s="14"/>
      <c r="U14" s="14"/>
      <c r="V14" s="14"/>
      <c r="W14" s="14"/>
      <c r="X14" s="14"/>
      <c r="Y14" s="14"/>
    </row>
    <row r="15" ht="21.0" customHeight="1">
      <c r="A15" s="33" t="s">
        <v>15</v>
      </c>
      <c r="B15" s="12"/>
      <c r="C15" s="12"/>
      <c r="D15" s="12"/>
      <c r="E15" s="12"/>
      <c r="F15" s="12"/>
      <c r="G15" s="12"/>
      <c r="H15" s="12"/>
      <c r="I15" s="12"/>
      <c r="J15" s="12"/>
      <c r="K15" s="12"/>
      <c r="L15" s="12"/>
      <c r="M15" s="12"/>
      <c r="N15" s="12"/>
      <c r="O15" s="12"/>
      <c r="P15" s="13"/>
      <c r="Q15" s="14"/>
      <c r="R15" s="14"/>
      <c r="S15" s="14"/>
      <c r="T15" s="14"/>
      <c r="U15" s="14"/>
      <c r="V15" s="14"/>
      <c r="W15" s="14"/>
      <c r="X15" s="14"/>
      <c r="Y15" s="14"/>
      <c r="Z15" s="14"/>
      <c r="AA15" s="14"/>
      <c r="AB15" s="14"/>
    </row>
    <row r="16">
      <c r="A16" s="34" t="s">
        <v>16</v>
      </c>
      <c r="B16" s="35" t="s">
        <v>17</v>
      </c>
      <c r="C16" s="35" t="s">
        <v>18</v>
      </c>
      <c r="D16" s="35" t="s">
        <v>19</v>
      </c>
      <c r="E16" s="36" t="s">
        <v>20</v>
      </c>
      <c r="F16" s="36" t="s">
        <v>21</v>
      </c>
      <c r="G16" s="36" t="s">
        <v>22</v>
      </c>
      <c r="H16" s="36" t="s">
        <v>23</v>
      </c>
      <c r="I16" s="36" t="s">
        <v>24</v>
      </c>
      <c r="J16" s="36" t="s">
        <v>25</v>
      </c>
      <c r="K16" s="36" t="s">
        <v>26</v>
      </c>
      <c r="L16" s="35" t="s">
        <v>27</v>
      </c>
      <c r="M16" s="36" t="s">
        <v>28</v>
      </c>
      <c r="N16" s="37"/>
      <c r="O16" s="37"/>
      <c r="P16" s="37"/>
      <c r="Q16" s="38"/>
      <c r="R16" s="38"/>
      <c r="S16" s="38"/>
      <c r="T16" s="38"/>
      <c r="U16" s="38"/>
      <c r="V16" s="38"/>
      <c r="W16" s="38"/>
      <c r="X16" s="14"/>
      <c r="Y16" s="14"/>
      <c r="Z16" s="14"/>
      <c r="AA16" s="14"/>
      <c r="AB16" s="14"/>
    </row>
    <row r="17">
      <c r="A17" s="39">
        <v>1.0</v>
      </c>
      <c r="B17" s="40" t="s">
        <v>29</v>
      </c>
      <c r="C17" s="41" t="s">
        <v>30</v>
      </c>
      <c r="D17" s="42" t="s">
        <v>31</v>
      </c>
      <c r="E17" s="43" t="s">
        <v>32</v>
      </c>
      <c r="F17" s="43" t="s">
        <v>33</v>
      </c>
      <c r="G17" s="43" t="s">
        <v>34</v>
      </c>
      <c r="H17" s="43" t="s">
        <v>35</v>
      </c>
      <c r="I17" s="44" t="s">
        <v>36</v>
      </c>
      <c r="J17" s="45"/>
      <c r="K17" s="45"/>
      <c r="L17" s="46" t="s">
        <v>37</v>
      </c>
      <c r="M17" s="45"/>
      <c r="N17" s="47"/>
      <c r="O17" s="47"/>
      <c r="P17" s="48"/>
      <c r="Q17" s="38"/>
      <c r="R17" s="38"/>
      <c r="S17" s="38"/>
      <c r="T17" s="38"/>
      <c r="U17" s="38"/>
      <c r="V17" s="38"/>
      <c r="W17" s="38"/>
      <c r="X17" s="38"/>
      <c r="Y17" s="38"/>
      <c r="Z17" s="38"/>
      <c r="AA17" s="38"/>
      <c r="AB17" s="38"/>
    </row>
    <row r="18">
      <c r="A18" s="39">
        <v>2.0</v>
      </c>
      <c r="B18" s="40"/>
      <c r="C18" s="49"/>
      <c r="D18" s="49"/>
      <c r="E18" s="50" t="s">
        <v>38</v>
      </c>
      <c r="F18" s="50" t="s">
        <v>38</v>
      </c>
      <c r="G18" s="50" t="s">
        <v>39</v>
      </c>
      <c r="H18" s="50" t="s">
        <v>35</v>
      </c>
      <c r="I18" s="51" t="s">
        <v>40</v>
      </c>
      <c r="J18" s="52"/>
      <c r="K18" s="52"/>
      <c r="L18" s="53" t="s">
        <v>37</v>
      </c>
      <c r="M18" s="52"/>
      <c r="N18" s="54"/>
      <c r="O18" s="54"/>
      <c r="P18" s="55"/>
      <c r="Q18" s="38"/>
      <c r="R18" s="38"/>
      <c r="S18" s="38"/>
      <c r="T18" s="38"/>
      <c r="U18" s="38"/>
      <c r="V18" s="38"/>
      <c r="W18" s="38"/>
      <c r="X18" s="38"/>
      <c r="Y18" s="38"/>
      <c r="Z18" s="38"/>
      <c r="AA18" s="38"/>
      <c r="AB18" s="38"/>
    </row>
    <row r="19">
      <c r="A19" s="39">
        <v>3.0</v>
      </c>
      <c r="B19" s="40"/>
      <c r="C19" s="49"/>
      <c r="D19" s="49"/>
      <c r="E19" s="56" t="s">
        <v>41</v>
      </c>
      <c r="F19" s="50" t="s">
        <v>42</v>
      </c>
      <c r="G19" s="50" t="s">
        <v>34</v>
      </c>
      <c r="H19" s="50" t="s">
        <v>35</v>
      </c>
      <c r="I19" s="51" t="s">
        <v>43</v>
      </c>
      <c r="J19" s="57"/>
      <c r="K19" s="57"/>
      <c r="L19" s="53" t="s">
        <v>37</v>
      </c>
      <c r="M19" s="57"/>
      <c r="N19" s="57"/>
      <c r="O19" s="57"/>
      <c r="P19" s="58"/>
      <c r="Q19" s="38"/>
      <c r="R19" s="38"/>
      <c r="S19" s="38"/>
      <c r="T19" s="38"/>
      <c r="U19" s="38"/>
      <c r="V19" s="38"/>
      <c r="W19" s="38"/>
      <c r="X19" s="38"/>
      <c r="Y19" s="38"/>
      <c r="Z19" s="38"/>
      <c r="AA19" s="38"/>
      <c r="AB19" s="38"/>
    </row>
    <row r="20">
      <c r="A20" s="39">
        <v>4.0</v>
      </c>
      <c r="B20" s="40"/>
      <c r="C20" s="49"/>
      <c r="D20" s="49"/>
      <c r="E20" s="50" t="s">
        <v>44</v>
      </c>
      <c r="F20" s="50" t="s">
        <v>45</v>
      </c>
      <c r="G20" s="50" t="s">
        <v>34</v>
      </c>
      <c r="H20" s="50" t="s">
        <v>35</v>
      </c>
      <c r="I20" s="51" t="s">
        <v>46</v>
      </c>
      <c r="J20" s="57"/>
      <c r="K20" s="57"/>
      <c r="L20" s="59" t="s">
        <v>37</v>
      </c>
      <c r="M20" s="57"/>
      <c r="N20" s="57"/>
      <c r="O20" s="57"/>
      <c r="P20" s="58"/>
      <c r="Q20" s="38"/>
      <c r="R20" s="38"/>
      <c r="S20" s="38"/>
      <c r="T20" s="38"/>
      <c r="U20" s="38"/>
      <c r="V20" s="38"/>
      <c r="W20" s="38"/>
      <c r="X20" s="38"/>
      <c r="Y20" s="38"/>
      <c r="Z20" s="38"/>
      <c r="AA20" s="38"/>
      <c r="AB20" s="38"/>
    </row>
    <row r="21" ht="15.75" customHeight="1">
      <c r="A21" s="39">
        <v>5.0</v>
      </c>
      <c r="B21" s="40"/>
      <c r="C21" s="49"/>
      <c r="D21" s="49"/>
      <c r="E21" s="50" t="s">
        <v>47</v>
      </c>
      <c r="F21" s="50" t="s">
        <v>48</v>
      </c>
      <c r="G21" s="50" t="s">
        <v>34</v>
      </c>
      <c r="H21" s="50" t="s">
        <v>35</v>
      </c>
      <c r="I21" s="51" t="s">
        <v>49</v>
      </c>
      <c r="J21" s="57"/>
      <c r="K21" s="57"/>
      <c r="L21" s="53" t="s">
        <v>37</v>
      </c>
      <c r="M21" s="60"/>
      <c r="N21" s="60"/>
      <c r="O21" s="60"/>
      <c r="P21" s="61"/>
      <c r="Q21" s="38"/>
      <c r="R21" s="38"/>
      <c r="S21" s="38"/>
      <c r="T21" s="38"/>
      <c r="U21" s="38"/>
      <c r="V21" s="38"/>
      <c r="W21" s="38"/>
      <c r="X21" s="38"/>
      <c r="Y21" s="38"/>
      <c r="Z21" s="38"/>
      <c r="AA21" s="38"/>
      <c r="AB21" s="38"/>
    </row>
    <row r="22" ht="15.75" customHeight="1">
      <c r="A22" s="39">
        <v>6.0</v>
      </c>
      <c r="B22" s="40"/>
      <c r="C22" s="49"/>
      <c r="D22" s="49"/>
      <c r="E22" s="62" t="s">
        <v>50</v>
      </c>
      <c r="F22" s="62" t="s">
        <v>51</v>
      </c>
      <c r="G22" s="62" t="s">
        <v>34</v>
      </c>
      <c r="H22" s="56" t="s">
        <v>35</v>
      </c>
      <c r="I22" s="56" t="s">
        <v>52</v>
      </c>
      <c r="J22" s="56"/>
      <c r="K22" s="63"/>
      <c r="L22" s="53" t="s">
        <v>37</v>
      </c>
      <c r="M22" s="53"/>
      <c r="N22" s="56"/>
      <c r="O22" s="56"/>
      <c r="P22" s="64"/>
      <c r="Q22" s="38"/>
      <c r="R22" s="38"/>
      <c r="S22" s="38"/>
      <c r="T22" s="38"/>
      <c r="U22" s="38"/>
      <c r="V22" s="38"/>
      <c r="W22" s="38"/>
      <c r="X22" s="38"/>
      <c r="Y22" s="38"/>
      <c r="Z22" s="38"/>
      <c r="AA22" s="38"/>
      <c r="AB22" s="38"/>
    </row>
    <row r="23" ht="15.75" customHeight="1">
      <c r="A23" s="39">
        <v>7.0</v>
      </c>
      <c r="B23" s="40"/>
      <c r="C23" s="65"/>
      <c r="D23" s="49"/>
      <c r="E23" s="62" t="s">
        <v>53</v>
      </c>
      <c r="F23" s="62" t="s">
        <v>54</v>
      </c>
      <c r="G23" s="62" t="s">
        <v>55</v>
      </c>
      <c r="H23" s="56" t="s">
        <v>35</v>
      </c>
      <c r="I23" s="56" t="s">
        <v>56</v>
      </c>
      <c r="J23" s="66" t="s">
        <v>57</v>
      </c>
      <c r="K23" s="63"/>
      <c r="L23" s="53" t="s">
        <v>58</v>
      </c>
      <c r="M23" s="53"/>
      <c r="N23" s="56"/>
      <c r="O23" s="56"/>
      <c r="P23" s="64"/>
      <c r="Q23" s="38"/>
      <c r="R23" s="38"/>
      <c r="S23" s="38"/>
      <c r="T23" s="38"/>
      <c r="U23" s="38"/>
      <c r="V23" s="38"/>
      <c r="W23" s="38"/>
      <c r="X23" s="38"/>
      <c r="Y23" s="38"/>
      <c r="Z23" s="38"/>
      <c r="AA23" s="38"/>
      <c r="AB23" s="38"/>
    </row>
    <row r="24" ht="15.75" customHeight="1">
      <c r="A24" s="39">
        <v>8.0</v>
      </c>
      <c r="B24" s="40"/>
      <c r="C24" s="67" t="s">
        <v>59</v>
      </c>
      <c r="D24" s="49"/>
      <c r="E24" s="59" t="s">
        <v>60</v>
      </c>
      <c r="F24" s="59" t="s">
        <v>61</v>
      </c>
      <c r="G24" s="62" t="s">
        <v>62</v>
      </c>
      <c r="H24" s="56" t="s">
        <v>35</v>
      </c>
      <c r="I24" s="59" t="s">
        <v>63</v>
      </c>
      <c r="J24" s="68"/>
      <c r="K24" s="63"/>
      <c r="L24" s="53" t="s">
        <v>37</v>
      </c>
      <c r="M24" s="53"/>
      <c r="N24" s="56"/>
      <c r="O24" s="56"/>
      <c r="P24" s="64"/>
      <c r="Q24" s="38"/>
      <c r="R24" s="38"/>
      <c r="S24" s="38"/>
      <c r="T24" s="38"/>
      <c r="U24" s="38"/>
      <c r="V24" s="38"/>
      <c r="W24" s="38"/>
      <c r="X24" s="38"/>
      <c r="Y24" s="38"/>
      <c r="Z24" s="38"/>
      <c r="AA24" s="38"/>
      <c r="AB24" s="38"/>
    </row>
    <row r="25" ht="15.75" customHeight="1">
      <c r="A25" s="39">
        <v>9.0</v>
      </c>
      <c r="B25" s="40"/>
      <c r="C25" s="49"/>
      <c r="D25" s="49"/>
      <c r="E25" s="59" t="s">
        <v>64</v>
      </c>
      <c r="F25" s="59" t="s">
        <v>65</v>
      </c>
      <c r="G25" s="62" t="s">
        <v>62</v>
      </c>
      <c r="H25" s="56" t="s">
        <v>35</v>
      </c>
      <c r="I25" s="59" t="s">
        <v>66</v>
      </c>
      <c r="J25" s="56"/>
      <c r="K25" s="63"/>
      <c r="L25" s="53" t="s">
        <v>37</v>
      </c>
      <c r="M25" s="53"/>
      <c r="N25" s="56"/>
      <c r="O25" s="56"/>
      <c r="P25" s="64"/>
      <c r="Q25" s="38"/>
      <c r="R25" s="38"/>
      <c r="S25" s="38"/>
      <c r="T25" s="38"/>
      <c r="U25" s="38"/>
      <c r="V25" s="38"/>
      <c r="W25" s="38"/>
      <c r="X25" s="38"/>
      <c r="Y25" s="38"/>
      <c r="Z25" s="38"/>
      <c r="AA25" s="38"/>
      <c r="AB25" s="38"/>
    </row>
    <row r="26" ht="15.75" customHeight="1">
      <c r="A26" s="39">
        <v>10.0</v>
      </c>
      <c r="B26" s="40"/>
      <c r="C26" s="49"/>
      <c r="D26" s="49"/>
      <c r="E26" s="59" t="s">
        <v>67</v>
      </c>
      <c r="F26" s="59" t="s">
        <v>68</v>
      </c>
      <c r="G26" s="62" t="s">
        <v>62</v>
      </c>
      <c r="H26" s="56" t="s">
        <v>35</v>
      </c>
      <c r="I26" s="59" t="s">
        <v>69</v>
      </c>
      <c r="J26" s="68"/>
      <c r="K26" s="63"/>
      <c r="L26" s="53" t="s">
        <v>37</v>
      </c>
      <c r="M26" s="53"/>
      <c r="N26" s="56"/>
      <c r="O26" s="56"/>
      <c r="P26" s="64"/>
      <c r="Q26" s="38"/>
      <c r="R26" s="38"/>
      <c r="S26" s="38"/>
      <c r="T26" s="38"/>
      <c r="U26" s="38"/>
      <c r="V26" s="38"/>
      <c r="W26" s="38"/>
      <c r="X26" s="38"/>
      <c r="Y26" s="38"/>
      <c r="Z26" s="38"/>
      <c r="AA26" s="38"/>
      <c r="AB26" s="38"/>
    </row>
    <row r="27" ht="15.75" customHeight="1">
      <c r="A27" s="39">
        <v>11.0</v>
      </c>
      <c r="B27" s="40"/>
      <c r="C27" s="49"/>
      <c r="D27" s="49"/>
      <c r="E27" s="59" t="s">
        <v>70</v>
      </c>
      <c r="F27" s="59" t="s">
        <v>71</v>
      </c>
      <c r="G27" s="62" t="s">
        <v>62</v>
      </c>
      <c r="H27" s="56" t="s">
        <v>35</v>
      </c>
      <c r="I27" s="59" t="s">
        <v>72</v>
      </c>
      <c r="J27" s="56"/>
      <c r="K27" s="56"/>
      <c r="L27" s="53" t="s">
        <v>37</v>
      </c>
      <c r="M27" s="53"/>
      <c r="N27" s="56"/>
      <c r="O27" s="56"/>
      <c r="P27" s="64"/>
      <c r="Q27" s="38"/>
      <c r="R27" s="38"/>
      <c r="S27" s="38"/>
      <c r="T27" s="38"/>
      <c r="U27" s="38"/>
      <c r="V27" s="38"/>
      <c r="W27" s="38"/>
      <c r="X27" s="38"/>
      <c r="Y27" s="38"/>
      <c r="Z27" s="38"/>
      <c r="AA27" s="38"/>
      <c r="AB27" s="38"/>
    </row>
    <row r="28" ht="15.75" customHeight="1">
      <c r="A28" s="39">
        <v>12.0</v>
      </c>
      <c r="B28" s="40"/>
      <c r="C28" s="49"/>
      <c r="D28" s="49"/>
      <c r="E28" s="59" t="s">
        <v>73</v>
      </c>
      <c r="F28" s="59" t="s">
        <v>74</v>
      </c>
      <c r="G28" s="62" t="s">
        <v>55</v>
      </c>
      <c r="H28" s="69" t="s">
        <v>35</v>
      </c>
      <c r="I28" s="59" t="s">
        <v>75</v>
      </c>
      <c r="J28" s="66" t="s">
        <v>76</v>
      </c>
      <c r="K28" s="56"/>
      <c r="L28" s="53" t="s">
        <v>58</v>
      </c>
      <c r="M28" s="53"/>
      <c r="N28" s="56"/>
      <c r="O28" s="56"/>
      <c r="P28" s="64"/>
      <c r="Q28" s="38"/>
      <c r="R28" s="38"/>
      <c r="S28" s="38"/>
      <c r="T28" s="38"/>
      <c r="U28" s="38"/>
      <c r="V28" s="38"/>
      <c r="W28" s="38"/>
      <c r="X28" s="38"/>
      <c r="Y28" s="38"/>
      <c r="Z28" s="38"/>
      <c r="AA28" s="38"/>
      <c r="AB28" s="38"/>
    </row>
    <row r="29" ht="15.75" customHeight="1">
      <c r="A29" s="39">
        <v>13.0</v>
      </c>
      <c r="B29" s="40"/>
      <c r="C29" s="49"/>
      <c r="D29" s="49"/>
      <c r="E29" s="59" t="s">
        <v>77</v>
      </c>
      <c r="F29" s="59" t="s">
        <v>78</v>
      </c>
      <c r="G29" s="62" t="s">
        <v>34</v>
      </c>
      <c r="H29" s="69" t="s">
        <v>79</v>
      </c>
      <c r="I29" s="59" t="s">
        <v>80</v>
      </c>
      <c r="J29" s="56"/>
      <c r="K29" s="56"/>
      <c r="L29" s="53" t="s">
        <v>37</v>
      </c>
      <c r="M29" s="53"/>
      <c r="N29" s="56"/>
      <c r="O29" s="56"/>
      <c r="P29" s="64"/>
      <c r="Q29" s="38"/>
      <c r="R29" s="38"/>
      <c r="S29" s="38"/>
      <c r="T29" s="38"/>
      <c r="U29" s="38"/>
      <c r="V29" s="38"/>
      <c r="W29" s="38"/>
      <c r="X29" s="38"/>
      <c r="Y29" s="38"/>
      <c r="Z29" s="38"/>
      <c r="AA29" s="38"/>
      <c r="AB29" s="38"/>
    </row>
    <row r="30" ht="15.75" customHeight="1">
      <c r="A30" s="39">
        <v>14.0</v>
      </c>
      <c r="B30" s="40"/>
      <c r="C30" s="49"/>
      <c r="D30" s="49"/>
      <c r="E30" s="59" t="s">
        <v>81</v>
      </c>
      <c r="F30" s="59" t="s">
        <v>82</v>
      </c>
      <c r="G30" s="62" t="s">
        <v>83</v>
      </c>
      <c r="H30" s="56" t="s">
        <v>84</v>
      </c>
      <c r="I30" s="59" t="s">
        <v>85</v>
      </c>
      <c r="J30" s="56"/>
      <c r="K30" s="56"/>
      <c r="L30" s="53" t="s">
        <v>37</v>
      </c>
      <c r="M30" s="53"/>
      <c r="N30" s="56"/>
      <c r="O30" s="56"/>
      <c r="P30" s="64"/>
      <c r="Q30" s="38"/>
      <c r="R30" s="38"/>
      <c r="S30" s="38"/>
      <c r="T30" s="38"/>
      <c r="U30" s="38"/>
      <c r="V30" s="38"/>
      <c r="W30" s="38"/>
      <c r="X30" s="38"/>
      <c r="Y30" s="38"/>
      <c r="Z30" s="38"/>
      <c r="AA30" s="38"/>
      <c r="AB30" s="38"/>
    </row>
    <row r="31" ht="15.75" customHeight="1">
      <c r="A31" s="39">
        <v>15.0</v>
      </c>
      <c r="B31" s="40"/>
      <c r="C31" s="49"/>
      <c r="D31" s="49"/>
      <c r="E31" s="59" t="s">
        <v>86</v>
      </c>
      <c r="F31" s="59" t="s">
        <v>87</v>
      </c>
      <c r="G31" s="62" t="s">
        <v>34</v>
      </c>
      <c r="H31" s="56"/>
      <c r="I31" s="59" t="s">
        <v>88</v>
      </c>
      <c r="J31" s="56"/>
      <c r="K31" s="56"/>
      <c r="L31" s="53" t="s">
        <v>37</v>
      </c>
      <c r="M31" s="53"/>
      <c r="N31" s="56"/>
      <c r="O31" s="56"/>
      <c r="P31" s="64"/>
      <c r="Q31" s="38"/>
      <c r="R31" s="38"/>
      <c r="S31" s="38"/>
      <c r="T31" s="38"/>
      <c r="U31" s="38"/>
      <c r="V31" s="38"/>
      <c r="W31" s="38"/>
      <c r="X31" s="38"/>
      <c r="Y31" s="38"/>
      <c r="Z31" s="38"/>
      <c r="AA31" s="38"/>
      <c r="AB31" s="38"/>
    </row>
    <row r="32" ht="15.75" customHeight="1">
      <c r="A32" s="39">
        <v>16.0</v>
      </c>
      <c r="B32" s="40"/>
      <c r="C32" s="49"/>
      <c r="D32" s="49"/>
      <c r="E32" s="59" t="s">
        <v>89</v>
      </c>
      <c r="F32" s="59" t="s">
        <v>90</v>
      </c>
      <c r="G32" s="62" t="s">
        <v>55</v>
      </c>
      <c r="H32" s="56" t="s">
        <v>91</v>
      </c>
      <c r="I32" s="59" t="s">
        <v>92</v>
      </c>
      <c r="J32" s="66" t="s">
        <v>93</v>
      </c>
      <c r="K32" s="56"/>
      <c r="L32" s="53" t="s">
        <v>58</v>
      </c>
      <c r="M32" s="53"/>
      <c r="N32" s="56"/>
      <c r="O32" s="56"/>
      <c r="P32" s="64"/>
      <c r="Q32" s="38"/>
      <c r="R32" s="38"/>
      <c r="S32" s="38"/>
      <c r="T32" s="38"/>
      <c r="U32" s="38"/>
      <c r="V32" s="38"/>
      <c r="W32" s="38"/>
      <c r="X32" s="38"/>
      <c r="Y32" s="38"/>
      <c r="Z32" s="38"/>
      <c r="AA32" s="38"/>
      <c r="AB32" s="38"/>
    </row>
    <row r="33" ht="15.75" customHeight="1">
      <c r="A33" s="39">
        <v>17.0</v>
      </c>
      <c r="B33" s="40"/>
      <c r="C33" s="49"/>
      <c r="D33" s="49"/>
      <c r="E33" s="59" t="s">
        <v>94</v>
      </c>
      <c r="F33" s="59" t="s">
        <v>95</v>
      </c>
      <c r="G33" s="62" t="s">
        <v>55</v>
      </c>
      <c r="H33" s="56" t="s">
        <v>91</v>
      </c>
      <c r="I33" s="59" t="s">
        <v>96</v>
      </c>
      <c r="J33" s="66" t="s">
        <v>97</v>
      </c>
      <c r="K33" s="56"/>
      <c r="L33" s="53" t="s">
        <v>58</v>
      </c>
      <c r="M33" s="53"/>
      <c r="N33" s="56"/>
      <c r="O33" s="56"/>
      <c r="P33" s="64"/>
      <c r="Q33" s="38"/>
      <c r="R33" s="38"/>
      <c r="S33" s="38"/>
      <c r="T33" s="38"/>
      <c r="U33" s="38"/>
      <c r="V33" s="38"/>
      <c r="W33" s="38"/>
      <c r="X33" s="38"/>
      <c r="Y33" s="38"/>
      <c r="Z33" s="38"/>
      <c r="AA33" s="38"/>
      <c r="AB33" s="38"/>
    </row>
    <row r="34" ht="15.75" customHeight="1">
      <c r="A34" s="39">
        <v>18.0</v>
      </c>
      <c r="B34" s="40"/>
      <c r="C34" s="49"/>
      <c r="D34" s="49"/>
      <c r="E34" s="59" t="s">
        <v>98</v>
      </c>
      <c r="F34" s="59" t="s">
        <v>99</v>
      </c>
      <c r="G34" s="62"/>
      <c r="H34" s="56" t="s">
        <v>100</v>
      </c>
      <c r="I34" s="59" t="s">
        <v>101</v>
      </c>
      <c r="J34" s="66"/>
      <c r="K34" s="56"/>
      <c r="L34" s="53" t="s">
        <v>102</v>
      </c>
      <c r="M34" s="53"/>
      <c r="N34" s="56"/>
      <c r="O34" s="56"/>
      <c r="P34" s="64"/>
      <c r="Q34" s="38"/>
      <c r="R34" s="38"/>
      <c r="S34" s="38"/>
      <c r="T34" s="38"/>
      <c r="U34" s="38"/>
      <c r="V34" s="38"/>
      <c r="W34" s="38"/>
      <c r="X34" s="38"/>
      <c r="Y34" s="38"/>
      <c r="Z34" s="38"/>
      <c r="AA34" s="38"/>
      <c r="AB34" s="38"/>
    </row>
    <row r="35" ht="15.75" customHeight="1">
      <c r="A35" s="39">
        <v>19.0</v>
      </c>
      <c r="B35" s="40"/>
      <c r="C35" s="49"/>
      <c r="D35" s="49"/>
      <c r="E35" s="59" t="s">
        <v>103</v>
      </c>
      <c r="F35" s="59" t="s">
        <v>104</v>
      </c>
      <c r="G35" s="62"/>
      <c r="H35" s="56" t="s">
        <v>105</v>
      </c>
      <c r="I35" s="59" t="s">
        <v>106</v>
      </c>
      <c r="J35" s="66"/>
      <c r="K35" s="56"/>
      <c r="L35" s="53" t="s">
        <v>102</v>
      </c>
      <c r="M35" s="53"/>
      <c r="N35" s="56"/>
      <c r="O35" s="56"/>
      <c r="P35" s="64"/>
      <c r="Q35" s="38"/>
      <c r="R35" s="38"/>
      <c r="S35" s="38"/>
      <c r="T35" s="38"/>
      <c r="U35" s="38"/>
      <c r="V35" s="38"/>
      <c r="W35" s="38"/>
      <c r="X35" s="38"/>
      <c r="Y35" s="38"/>
      <c r="Z35" s="38"/>
      <c r="AA35" s="38"/>
      <c r="AB35" s="38"/>
    </row>
    <row r="36" ht="15.75" customHeight="1">
      <c r="A36" s="39">
        <v>20.0</v>
      </c>
      <c r="B36" s="40"/>
      <c r="C36" s="49"/>
      <c r="D36" s="49"/>
      <c r="E36" s="59" t="s">
        <v>107</v>
      </c>
      <c r="F36" s="59" t="s">
        <v>108</v>
      </c>
      <c r="G36" s="62"/>
      <c r="H36" s="56"/>
      <c r="I36" s="59" t="s">
        <v>109</v>
      </c>
      <c r="J36" s="56"/>
      <c r="K36" s="56"/>
      <c r="L36" s="53" t="s">
        <v>102</v>
      </c>
      <c r="M36" s="53"/>
      <c r="N36" s="56"/>
      <c r="O36" s="56"/>
      <c r="P36" s="64"/>
      <c r="Q36" s="38"/>
      <c r="R36" s="38"/>
      <c r="S36" s="38"/>
      <c r="T36" s="38"/>
      <c r="U36" s="38"/>
      <c r="V36" s="38"/>
      <c r="W36" s="38"/>
      <c r="X36" s="38"/>
      <c r="Y36" s="38"/>
      <c r="Z36" s="38"/>
      <c r="AA36" s="38"/>
      <c r="AB36" s="38"/>
    </row>
    <row r="37" ht="15.75" customHeight="1">
      <c r="A37" s="39">
        <v>21.0</v>
      </c>
      <c r="B37" s="40"/>
      <c r="C37" s="49"/>
      <c r="D37" s="49"/>
      <c r="E37" s="59" t="s">
        <v>110</v>
      </c>
      <c r="F37" s="59" t="s">
        <v>111</v>
      </c>
      <c r="G37" s="62" t="s">
        <v>34</v>
      </c>
      <c r="H37" s="56"/>
      <c r="I37" s="59" t="s">
        <v>112</v>
      </c>
      <c r="J37" s="56"/>
      <c r="K37" s="56"/>
      <c r="L37" s="53" t="s">
        <v>37</v>
      </c>
      <c r="M37" s="53"/>
      <c r="N37" s="56"/>
      <c r="O37" s="56"/>
      <c r="P37" s="64"/>
      <c r="Q37" s="38"/>
      <c r="R37" s="38"/>
      <c r="S37" s="38"/>
      <c r="T37" s="38"/>
      <c r="U37" s="38"/>
      <c r="V37" s="38"/>
      <c r="W37" s="38"/>
      <c r="X37" s="38"/>
      <c r="Y37" s="38"/>
      <c r="Z37" s="38"/>
      <c r="AA37" s="38"/>
      <c r="AB37" s="38"/>
    </row>
    <row r="38" ht="15.75" customHeight="1">
      <c r="A38" s="39">
        <v>22.0</v>
      </c>
      <c r="B38" s="40"/>
      <c r="C38" s="49"/>
      <c r="D38" s="49"/>
      <c r="E38" s="59" t="s">
        <v>113</v>
      </c>
      <c r="F38" s="59" t="s">
        <v>114</v>
      </c>
      <c r="G38" s="62" t="s">
        <v>34</v>
      </c>
      <c r="H38" s="70"/>
      <c r="I38" s="59" t="s">
        <v>115</v>
      </c>
      <c r="J38" s="56"/>
      <c r="K38" s="56"/>
      <c r="L38" s="53" t="s">
        <v>37</v>
      </c>
      <c r="M38" s="53"/>
      <c r="N38" s="56"/>
      <c r="O38" s="56"/>
      <c r="P38" s="64"/>
      <c r="Q38" s="38"/>
      <c r="R38" s="38"/>
      <c r="S38" s="38"/>
      <c r="T38" s="38"/>
      <c r="U38" s="38"/>
      <c r="V38" s="38"/>
      <c r="W38" s="38"/>
      <c r="X38" s="38"/>
      <c r="Y38" s="38"/>
      <c r="Z38" s="38"/>
      <c r="AA38" s="38"/>
      <c r="AB38" s="38"/>
    </row>
    <row r="39" ht="15.75" customHeight="1">
      <c r="A39" s="39">
        <v>23.0</v>
      </c>
      <c r="B39" s="40"/>
      <c r="C39" s="49"/>
      <c r="D39" s="49"/>
      <c r="E39" s="59" t="s">
        <v>116</v>
      </c>
      <c r="F39" s="59" t="s">
        <v>117</v>
      </c>
      <c r="G39" s="62" t="s">
        <v>55</v>
      </c>
      <c r="H39" s="66" t="s">
        <v>118</v>
      </c>
      <c r="I39" s="59" t="s">
        <v>119</v>
      </c>
      <c r="J39" s="66" t="s">
        <v>120</v>
      </c>
      <c r="K39" s="56"/>
      <c r="L39" s="53" t="s">
        <v>58</v>
      </c>
      <c r="M39" s="53"/>
      <c r="N39" s="56"/>
      <c r="O39" s="56"/>
      <c r="P39" s="64"/>
      <c r="Q39" s="38"/>
      <c r="R39" s="38"/>
      <c r="S39" s="38"/>
      <c r="T39" s="38"/>
      <c r="U39" s="38"/>
      <c r="V39" s="38"/>
      <c r="W39" s="38"/>
      <c r="X39" s="38"/>
      <c r="Y39" s="38"/>
      <c r="Z39" s="38"/>
      <c r="AA39" s="38"/>
      <c r="AB39" s="38"/>
    </row>
    <row r="40" ht="15.75" customHeight="1">
      <c r="A40" s="39">
        <v>24.0</v>
      </c>
      <c r="B40" s="40"/>
      <c r="C40" s="49"/>
      <c r="D40" s="49"/>
      <c r="E40" s="59" t="s">
        <v>121</v>
      </c>
      <c r="F40" s="59" t="s">
        <v>122</v>
      </c>
      <c r="G40" s="62" t="s">
        <v>55</v>
      </c>
      <c r="H40" s="66"/>
      <c r="I40" s="59" t="s">
        <v>123</v>
      </c>
      <c r="J40" s="66" t="s">
        <v>124</v>
      </c>
      <c r="K40" s="56"/>
      <c r="L40" s="53" t="s">
        <v>58</v>
      </c>
      <c r="M40" s="53"/>
      <c r="N40" s="56"/>
      <c r="O40" s="56"/>
      <c r="P40" s="64"/>
      <c r="Q40" s="38"/>
      <c r="R40" s="38"/>
      <c r="S40" s="38"/>
      <c r="T40" s="38"/>
      <c r="U40" s="38"/>
      <c r="V40" s="38"/>
      <c r="W40" s="38"/>
      <c r="X40" s="38"/>
      <c r="Y40" s="38"/>
      <c r="Z40" s="38"/>
      <c r="AA40" s="38"/>
      <c r="AB40" s="38"/>
    </row>
    <row r="41" ht="15.75" customHeight="1">
      <c r="A41" s="39">
        <v>25.0</v>
      </c>
      <c r="B41" s="40"/>
      <c r="C41" s="49"/>
      <c r="D41" s="49"/>
      <c r="E41" s="59" t="s">
        <v>125</v>
      </c>
      <c r="F41" s="59" t="s">
        <v>126</v>
      </c>
      <c r="G41" s="62" t="s">
        <v>34</v>
      </c>
      <c r="H41" s="66"/>
      <c r="I41" s="59" t="s">
        <v>127</v>
      </c>
      <c r="J41" s="56"/>
      <c r="K41" s="56"/>
      <c r="L41" s="53" t="s">
        <v>37</v>
      </c>
      <c r="M41" s="53"/>
      <c r="N41" s="56"/>
      <c r="O41" s="56"/>
      <c r="P41" s="64"/>
      <c r="Q41" s="38"/>
      <c r="R41" s="38"/>
      <c r="S41" s="38"/>
      <c r="T41" s="38"/>
      <c r="U41" s="38"/>
      <c r="V41" s="38"/>
      <c r="W41" s="38"/>
      <c r="X41" s="38"/>
      <c r="Y41" s="38"/>
      <c r="Z41" s="38"/>
      <c r="AA41" s="38"/>
      <c r="AB41" s="38"/>
    </row>
    <row r="42" ht="15.75" customHeight="1">
      <c r="A42" s="39">
        <v>26.0</v>
      </c>
      <c r="B42" s="40"/>
      <c r="C42" s="49"/>
      <c r="D42" s="49"/>
      <c r="E42" s="59" t="s">
        <v>128</v>
      </c>
      <c r="F42" s="59" t="s">
        <v>129</v>
      </c>
      <c r="G42" s="62" t="s">
        <v>83</v>
      </c>
      <c r="H42" s="66"/>
      <c r="I42" s="59" t="s">
        <v>130</v>
      </c>
      <c r="J42" s="66"/>
      <c r="K42" s="66"/>
      <c r="L42" s="53" t="s">
        <v>37</v>
      </c>
      <c r="M42" s="71"/>
      <c r="N42" s="72"/>
      <c r="O42" s="72"/>
      <c r="P42" s="73"/>
      <c r="Q42" s="38"/>
      <c r="R42" s="38"/>
      <c r="S42" s="38"/>
      <c r="T42" s="38"/>
      <c r="U42" s="38"/>
      <c r="V42" s="38"/>
      <c r="W42" s="38"/>
      <c r="X42" s="38"/>
      <c r="Y42" s="38"/>
      <c r="Z42" s="38"/>
      <c r="AA42" s="38"/>
      <c r="AB42" s="38"/>
    </row>
    <row r="43" ht="15.75" customHeight="1">
      <c r="A43" s="39">
        <v>27.0</v>
      </c>
      <c r="B43" s="40"/>
      <c r="C43" s="49"/>
      <c r="D43" s="49"/>
      <c r="E43" s="59" t="s">
        <v>131</v>
      </c>
      <c r="F43" s="59" t="s">
        <v>132</v>
      </c>
      <c r="G43" s="62" t="s">
        <v>34</v>
      </c>
      <c r="H43" s="56"/>
      <c r="I43" s="59" t="s">
        <v>133</v>
      </c>
      <c r="J43" s="56"/>
      <c r="K43" s="56"/>
      <c r="L43" s="53" t="s">
        <v>37</v>
      </c>
      <c r="M43" s="53"/>
      <c r="N43" s="56"/>
      <c r="O43" s="56"/>
      <c r="P43" s="64"/>
      <c r="Q43" s="38"/>
      <c r="R43" s="38"/>
      <c r="S43" s="38"/>
      <c r="T43" s="38"/>
      <c r="U43" s="38"/>
      <c r="V43" s="38"/>
      <c r="W43" s="38"/>
      <c r="X43" s="38"/>
      <c r="Y43" s="38"/>
      <c r="Z43" s="38"/>
      <c r="AA43" s="38"/>
      <c r="AB43" s="38"/>
    </row>
    <row r="44" ht="15.75" customHeight="1">
      <c r="A44" s="39">
        <v>28.0</v>
      </c>
      <c r="B44" s="40"/>
      <c r="C44" s="49"/>
      <c r="D44" s="49"/>
      <c r="E44" s="59" t="s">
        <v>134</v>
      </c>
      <c r="F44" s="59" t="s">
        <v>135</v>
      </c>
      <c r="G44" s="62" t="s">
        <v>83</v>
      </c>
      <c r="H44" s="56"/>
      <c r="I44" s="59" t="s">
        <v>136</v>
      </c>
      <c r="J44" s="56"/>
      <c r="K44" s="53"/>
      <c r="L44" s="53" t="s">
        <v>37</v>
      </c>
      <c r="M44" s="74"/>
      <c r="N44" s="56"/>
      <c r="O44" s="56"/>
      <c r="P44" s="64"/>
      <c r="Q44" s="38"/>
      <c r="R44" s="38"/>
      <c r="S44" s="38"/>
      <c r="T44" s="38"/>
      <c r="U44" s="38"/>
      <c r="V44" s="38"/>
      <c r="W44" s="38"/>
      <c r="X44" s="38"/>
      <c r="Y44" s="38"/>
      <c r="Z44" s="38"/>
      <c r="AA44" s="38"/>
      <c r="AB44" s="38"/>
    </row>
    <row r="45" ht="15.75" customHeight="1">
      <c r="A45" s="39">
        <v>29.0</v>
      </c>
      <c r="B45" s="40"/>
      <c r="C45" s="49"/>
      <c r="D45" s="49"/>
      <c r="E45" s="59" t="s">
        <v>137</v>
      </c>
      <c r="F45" s="59" t="s">
        <v>138</v>
      </c>
      <c r="G45" s="62" t="s">
        <v>34</v>
      </c>
      <c r="H45" s="56"/>
      <c r="I45" s="59" t="s">
        <v>139</v>
      </c>
      <c r="J45" s="56"/>
      <c r="K45" s="56"/>
      <c r="L45" s="53" t="s">
        <v>37</v>
      </c>
      <c r="M45" s="53"/>
      <c r="N45" s="56"/>
      <c r="O45" s="56"/>
      <c r="P45" s="64"/>
      <c r="Q45" s="38"/>
      <c r="R45" s="38"/>
      <c r="S45" s="38"/>
      <c r="T45" s="38"/>
      <c r="U45" s="38"/>
      <c r="V45" s="38"/>
      <c r="W45" s="38"/>
      <c r="X45" s="38"/>
      <c r="Y45" s="38"/>
      <c r="Z45" s="38"/>
      <c r="AA45" s="38"/>
      <c r="AB45" s="38"/>
    </row>
    <row r="46" ht="15.75" customHeight="1">
      <c r="A46" s="39">
        <v>30.0</v>
      </c>
      <c r="B46" s="40"/>
      <c r="C46" s="49"/>
      <c r="D46" s="49"/>
      <c r="E46" s="59" t="s">
        <v>140</v>
      </c>
      <c r="F46" s="59" t="s">
        <v>138</v>
      </c>
      <c r="G46" s="62" t="s">
        <v>34</v>
      </c>
      <c r="H46" s="69"/>
      <c r="I46" s="59" t="s">
        <v>141</v>
      </c>
      <c r="J46" s="56"/>
      <c r="K46" s="56"/>
      <c r="L46" s="53" t="s">
        <v>37</v>
      </c>
      <c r="M46" s="53"/>
      <c r="N46" s="56"/>
      <c r="O46" s="56"/>
      <c r="P46" s="64"/>
      <c r="Q46" s="38"/>
      <c r="R46" s="38"/>
      <c r="S46" s="38"/>
      <c r="T46" s="38"/>
      <c r="U46" s="38"/>
      <c r="V46" s="38"/>
      <c r="W46" s="38"/>
      <c r="X46" s="38"/>
      <c r="Y46" s="38"/>
      <c r="Z46" s="38"/>
      <c r="AA46" s="38"/>
      <c r="AB46" s="38"/>
    </row>
    <row r="47" ht="15.75" customHeight="1">
      <c r="A47" s="39">
        <v>31.0</v>
      </c>
      <c r="B47" s="40"/>
      <c r="C47" s="49"/>
      <c r="D47" s="49"/>
      <c r="E47" s="59" t="s">
        <v>142</v>
      </c>
      <c r="F47" s="59" t="s">
        <v>138</v>
      </c>
      <c r="G47" s="62" t="s">
        <v>34</v>
      </c>
      <c r="H47" s="62"/>
      <c r="I47" s="59" t="s">
        <v>143</v>
      </c>
      <c r="J47" s="56"/>
      <c r="K47" s="56"/>
      <c r="L47" s="53" t="s">
        <v>37</v>
      </c>
      <c r="M47" s="53"/>
      <c r="N47" s="56"/>
      <c r="O47" s="56"/>
      <c r="P47" s="64"/>
      <c r="Q47" s="38"/>
      <c r="R47" s="38"/>
      <c r="S47" s="38"/>
      <c r="T47" s="38"/>
      <c r="U47" s="38"/>
      <c r="V47" s="38"/>
      <c r="W47" s="38"/>
      <c r="X47" s="38"/>
      <c r="Y47" s="38"/>
      <c r="Z47" s="38"/>
      <c r="AA47" s="38"/>
      <c r="AB47" s="38"/>
    </row>
    <row r="48" ht="15.75" customHeight="1">
      <c r="A48" s="39">
        <v>32.0</v>
      </c>
      <c r="B48" s="40"/>
      <c r="C48" s="49"/>
      <c r="D48" s="49"/>
      <c r="E48" s="59" t="s">
        <v>144</v>
      </c>
      <c r="F48" s="59" t="s">
        <v>68</v>
      </c>
      <c r="G48" s="62" t="s">
        <v>34</v>
      </c>
      <c r="H48" s="56"/>
      <c r="I48" s="59" t="s">
        <v>145</v>
      </c>
      <c r="J48" s="56"/>
      <c r="K48" s="56"/>
      <c r="L48" s="71" t="s">
        <v>37</v>
      </c>
      <c r="M48" s="71"/>
      <c r="N48" s="72"/>
      <c r="O48" s="72"/>
      <c r="P48" s="73"/>
      <c r="Q48" s="38"/>
      <c r="R48" s="38"/>
      <c r="S48" s="38"/>
      <c r="T48" s="38"/>
      <c r="U48" s="38"/>
      <c r="V48" s="38"/>
      <c r="W48" s="38"/>
      <c r="X48" s="38"/>
      <c r="Y48" s="38"/>
      <c r="Z48" s="38"/>
      <c r="AA48" s="38"/>
      <c r="AB48" s="38"/>
    </row>
    <row r="49" ht="15.75" customHeight="1">
      <c r="A49" s="39">
        <v>33.0</v>
      </c>
      <c r="B49" s="40"/>
      <c r="C49" s="49"/>
      <c r="D49" s="49"/>
      <c r="E49" s="59" t="s">
        <v>146</v>
      </c>
      <c r="F49" s="59" t="s">
        <v>147</v>
      </c>
      <c r="G49" s="62" t="s">
        <v>34</v>
      </c>
      <c r="H49" s="56"/>
      <c r="I49" s="59" t="s">
        <v>148</v>
      </c>
      <c r="J49" s="56"/>
      <c r="K49" s="56"/>
      <c r="L49" s="53" t="s">
        <v>37</v>
      </c>
      <c r="M49" s="53"/>
      <c r="N49" s="56"/>
      <c r="O49" s="56"/>
      <c r="P49" s="64"/>
      <c r="Q49" s="38"/>
      <c r="R49" s="38"/>
      <c r="S49" s="38"/>
      <c r="T49" s="38"/>
      <c r="U49" s="38"/>
      <c r="V49" s="38"/>
      <c r="W49" s="38"/>
      <c r="X49" s="38"/>
      <c r="Y49" s="38"/>
      <c r="Z49" s="38"/>
      <c r="AA49" s="38"/>
      <c r="AB49" s="38"/>
    </row>
    <row r="50" ht="15.75" customHeight="1">
      <c r="A50" s="39">
        <v>34.0</v>
      </c>
      <c r="B50" s="40"/>
      <c r="C50" s="49"/>
      <c r="D50" s="49"/>
      <c r="E50" s="59" t="s">
        <v>149</v>
      </c>
      <c r="F50" s="59" t="s">
        <v>150</v>
      </c>
      <c r="G50" s="62" t="s">
        <v>34</v>
      </c>
      <c r="H50" s="56"/>
      <c r="I50" s="59" t="s">
        <v>151</v>
      </c>
      <c r="J50" s="56"/>
      <c r="K50" s="63"/>
      <c r="L50" s="53" t="s">
        <v>37</v>
      </c>
      <c r="M50" s="53"/>
      <c r="N50" s="56"/>
      <c r="O50" s="56"/>
      <c r="P50" s="64"/>
      <c r="Q50" s="38"/>
      <c r="R50" s="38"/>
      <c r="S50" s="38"/>
      <c r="T50" s="38"/>
      <c r="U50" s="38"/>
      <c r="V50" s="38"/>
      <c r="W50" s="38"/>
      <c r="X50" s="38"/>
      <c r="Y50" s="38"/>
      <c r="Z50" s="38"/>
      <c r="AA50" s="38"/>
      <c r="AB50" s="38"/>
    </row>
    <row r="51" ht="15.75" customHeight="1">
      <c r="A51" s="39">
        <v>35.0</v>
      </c>
      <c r="B51" s="40"/>
      <c r="C51" s="49"/>
      <c r="D51" s="49"/>
      <c r="E51" s="62" t="s">
        <v>152</v>
      </c>
      <c r="F51" s="59" t="s">
        <v>68</v>
      </c>
      <c r="G51" s="62" t="s">
        <v>55</v>
      </c>
      <c r="H51" s="56"/>
      <c r="I51" s="59" t="s">
        <v>153</v>
      </c>
      <c r="J51" s="66" t="s">
        <v>124</v>
      </c>
      <c r="K51" s="63"/>
      <c r="L51" s="53" t="s">
        <v>58</v>
      </c>
      <c r="M51" s="53"/>
      <c r="N51" s="56"/>
      <c r="O51" s="56"/>
      <c r="P51" s="64"/>
      <c r="Q51" s="38"/>
      <c r="R51" s="38"/>
      <c r="S51" s="38"/>
      <c r="T51" s="38"/>
      <c r="U51" s="38"/>
      <c r="V51" s="38"/>
      <c r="W51" s="38"/>
      <c r="X51" s="38"/>
      <c r="Y51" s="38"/>
      <c r="Z51" s="38"/>
      <c r="AA51" s="38"/>
      <c r="AB51" s="38"/>
    </row>
    <row r="52" ht="15.75" customHeight="1">
      <c r="A52" s="39">
        <v>36.0</v>
      </c>
      <c r="B52" s="40"/>
      <c r="C52" s="49"/>
      <c r="D52" s="49"/>
      <c r="E52" s="62" t="s">
        <v>154</v>
      </c>
      <c r="F52" s="59" t="s">
        <v>68</v>
      </c>
      <c r="G52" s="62" t="s">
        <v>55</v>
      </c>
      <c r="H52" s="56"/>
      <c r="I52" s="59" t="s">
        <v>155</v>
      </c>
      <c r="J52" s="66" t="s">
        <v>124</v>
      </c>
      <c r="K52" s="63"/>
      <c r="L52" s="53" t="s">
        <v>58</v>
      </c>
      <c r="M52" s="53"/>
      <c r="N52" s="56"/>
      <c r="O52" s="56"/>
      <c r="P52" s="64"/>
    </row>
    <row r="53" ht="15.75" customHeight="1">
      <c r="A53" s="39">
        <v>37.0</v>
      </c>
      <c r="B53" s="40"/>
      <c r="C53" s="49"/>
      <c r="D53" s="49"/>
      <c r="E53" s="62" t="s">
        <v>156</v>
      </c>
      <c r="F53" s="59" t="s">
        <v>157</v>
      </c>
      <c r="G53" s="62" t="s">
        <v>34</v>
      </c>
      <c r="H53" s="56"/>
      <c r="I53" s="59" t="s">
        <v>158</v>
      </c>
      <c r="J53" s="56"/>
      <c r="K53" s="63"/>
      <c r="L53" s="53" t="s">
        <v>37</v>
      </c>
      <c r="M53" s="53"/>
      <c r="N53" s="56"/>
      <c r="O53" s="56"/>
      <c r="P53" s="64"/>
    </row>
    <row r="54" ht="15.75" customHeight="1">
      <c r="A54" s="39">
        <v>38.0</v>
      </c>
      <c r="B54" s="40"/>
      <c r="C54" s="49"/>
      <c r="D54" s="49"/>
      <c r="E54" s="62" t="s">
        <v>159</v>
      </c>
      <c r="F54" s="59" t="s">
        <v>160</v>
      </c>
      <c r="G54" s="62" t="s">
        <v>34</v>
      </c>
      <c r="H54" s="56"/>
      <c r="I54" s="59" t="s">
        <v>161</v>
      </c>
      <c r="J54" s="56"/>
      <c r="K54" s="63"/>
      <c r="L54" s="53" t="s">
        <v>37</v>
      </c>
      <c r="M54" s="53"/>
      <c r="N54" s="56"/>
      <c r="O54" s="56"/>
      <c r="P54" s="64"/>
    </row>
    <row r="55" ht="15.75" customHeight="1">
      <c r="A55" s="39">
        <v>39.0</v>
      </c>
      <c r="B55" s="40"/>
      <c r="C55" s="49"/>
      <c r="D55" s="49"/>
      <c r="E55" s="62" t="s">
        <v>162</v>
      </c>
      <c r="F55" s="59" t="s">
        <v>157</v>
      </c>
      <c r="G55" s="62" t="s">
        <v>34</v>
      </c>
      <c r="H55" s="56"/>
      <c r="I55" s="59" t="s">
        <v>163</v>
      </c>
      <c r="J55" s="56"/>
      <c r="K55" s="63"/>
      <c r="L55" s="53" t="s">
        <v>37</v>
      </c>
      <c r="M55" s="53"/>
      <c r="N55" s="56"/>
      <c r="O55" s="56"/>
      <c r="P55" s="64"/>
    </row>
    <row r="56" ht="15.75" customHeight="1">
      <c r="A56" s="39">
        <v>40.0</v>
      </c>
      <c r="B56" s="40"/>
      <c r="C56" s="49"/>
      <c r="D56" s="49"/>
      <c r="E56" s="62" t="s">
        <v>164</v>
      </c>
      <c r="F56" s="59" t="s">
        <v>160</v>
      </c>
      <c r="G56" s="62" t="s">
        <v>34</v>
      </c>
      <c r="H56" s="56"/>
      <c r="I56" s="59" t="s">
        <v>165</v>
      </c>
      <c r="J56" s="56"/>
      <c r="K56" s="63"/>
      <c r="L56" s="53" t="s">
        <v>37</v>
      </c>
      <c r="M56" s="53"/>
      <c r="N56" s="56"/>
      <c r="O56" s="56"/>
      <c r="P56" s="64"/>
    </row>
    <row r="57" ht="15.75" customHeight="1">
      <c r="A57" s="39">
        <v>41.0</v>
      </c>
      <c r="B57" s="40"/>
      <c r="C57" s="49"/>
      <c r="D57" s="49"/>
      <c r="E57" s="62" t="s">
        <v>166</v>
      </c>
      <c r="F57" s="59" t="s">
        <v>167</v>
      </c>
      <c r="G57" s="62" t="s">
        <v>34</v>
      </c>
      <c r="H57" s="56"/>
      <c r="I57" s="59" t="s">
        <v>168</v>
      </c>
      <c r="J57" s="56"/>
      <c r="K57" s="63"/>
      <c r="L57" s="53" t="s">
        <v>37</v>
      </c>
      <c r="M57" s="53"/>
      <c r="N57" s="56"/>
      <c r="O57" s="56"/>
      <c r="P57" s="64"/>
    </row>
    <row r="58" ht="15.75" customHeight="1">
      <c r="A58" s="39">
        <v>42.0</v>
      </c>
      <c r="B58" s="40"/>
      <c r="C58" s="49"/>
      <c r="D58" s="49"/>
      <c r="E58" s="62" t="s">
        <v>169</v>
      </c>
      <c r="F58" s="59" t="s">
        <v>170</v>
      </c>
      <c r="G58" s="62" t="s">
        <v>34</v>
      </c>
      <c r="H58" s="56"/>
      <c r="I58" s="59" t="s">
        <v>171</v>
      </c>
      <c r="J58" s="56"/>
      <c r="K58" s="63"/>
      <c r="L58" s="53" t="s">
        <v>37</v>
      </c>
      <c r="M58" s="53"/>
      <c r="N58" s="56"/>
      <c r="O58" s="56"/>
      <c r="P58" s="64"/>
    </row>
    <row r="59" ht="15.75" customHeight="1">
      <c r="A59" s="39">
        <v>43.0</v>
      </c>
      <c r="B59" s="40"/>
      <c r="C59" s="49"/>
      <c r="D59" s="49"/>
      <c r="E59" s="62" t="s">
        <v>172</v>
      </c>
      <c r="F59" s="59" t="s">
        <v>138</v>
      </c>
      <c r="G59" s="62" t="s">
        <v>34</v>
      </c>
      <c r="H59" s="56"/>
      <c r="I59" s="59" t="s">
        <v>173</v>
      </c>
      <c r="J59" s="56"/>
      <c r="K59" s="63"/>
      <c r="L59" s="53" t="s">
        <v>37</v>
      </c>
      <c r="M59" s="53"/>
      <c r="N59" s="56"/>
      <c r="O59" s="56"/>
      <c r="P59" s="64"/>
    </row>
    <row r="60" ht="15.75" customHeight="1">
      <c r="A60" s="39">
        <v>44.0</v>
      </c>
      <c r="B60" s="40"/>
      <c r="C60" s="49"/>
      <c r="D60" s="49"/>
      <c r="E60" s="62" t="s">
        <v>174</v>
      </c>
      <c r="F60" s="59" t="s">
        <v>138</v>
      </c>
      <c r="G60" s="62" t="s">
        <v>34</v>
      </c>
      <c r="H60" s="56"/>
      <c r="I60" s="59" t="s">
        <v>175</v>
      </c>
      <c r="J60" s="56"/>
      <c r="K60" s="63"/>
      <c r="L60" s="53" t="s">
        <v>37</v>
      </c>
      <c r="M60" s="53"/>
      <c r="N60" s="56"/>
      <c r="O60" s="56"/>
      <c r="P60" s="64"/>
    </row>
    <row r="61" ht="15.75" customHeight="1">
      <c r="A61" s="39">
        <v>45.0</v>
      </c>
      <c r="B61" s="40"/>
      <c r="C61" s="49"/>
      <c r="D61" s="49"/>
      <c r="E61" s="62" t="s">
        <v>176</v>
      </c>
      <c r="F61" s="59" t="s">
        <v>138</v>
      </c>
      <c r="G61" s="62" t="s">
        <v>34</v>
      </c>
      <c r="H61" s="56"/>
      <c r="I61" s="59" t="s">
        <v>177</v>
      </c>
      <c r="J61" s="56"/>
      <c r="K61" s="63"/>
      <c r="L61" s="53" t="s">
        <v>37</v>
      </c>
      <c r="M61" s="53"/>
      <c r="N61" s="56"/>
      <c r="O61" s="56"/>
      <c r="P61" s="64"/>
    </row>
    <row r="62" ht="15.75" customHeight="1">
      <c r="A62" s="39">
        <v>46.0</v>
      </c>
      <c r="B62" s="40"/>
      <c r="C62" s="49"/>
      <c r="D62" s="49"/>
      <c r="E62" s="62" t="s">
        <v>178</v>
      </c>
      <c r="F62" s="59" t="s">
        <v>138</v>
      </c>
      <c r="G62" s="62" t="s">
        <v>34</v>
      </c>
      <c r="H62" s="56"/>
      <c r="I62" s="59" t="s">
        <v>179</v>
      </c>
      <c r="J62" s="56"/>
      <c r="K62" s="63"/>
      <c r="L62" s="53" t="s">
        <v>37</v>
      </c>
      <c r="M62" s="53"/>
      <c r="N62" s="56"/>
      <c r="O62" s="56"/>
      <c r="P62" s="64"/>
    </row>
    <row r="63" ht="15.75" customHeight="1">
      <c r="A63" s="39">
        <v>47.0</v>
      </c>
      <c r="B63" s="40"/>
      <c r="C63" s="49"/>
      <c r="D63" s="49"/>
      <c r="E63" s="62" t="s">
        <v>180</v>
      </c>
      <c r="F63" s="59" t="s">
        <v>138</v>
      </c>
      <c r="G63" s="62" t="s">
        <v>34</v>
      </c>
      <c r="H63" s="56"/>
      <c r="I63" s="59" t="s">
        <v>181</v>
      </c>
      <c r="J63" s="56"/>
      <c r="K63" s="63"/>
      <c r="L63" s="53" t="s">
        <v>37</v>
      </c>
      <c r="M63" s="53"/>
      <c r="N63" s="56"/>
      <c r="O63" s="56"/>
      <c r="P63" s="64"/>
    </row>
    <row r="64" ht="15.75" customHeight="1">
      <c r="A64" s="39">
        <v>48.0</v>
      </c>
      <c r="B64" s="40"/>
      <c r="C64" s="49"/>
      <c r="D64" s="49"/>
      <c r="E64" s="62" t="s">
        <v>182</v>
      </c>
      <c r="F64" s="59" t="s">
        <v>183</v>
      </c>
      <c r="G64" s="62" t="s">
        <v>34</v>
      </c>
      <c r="H64" s="56"/>
      <c r="I64" s="59" t="s">
        <v>184</v>
      </c>
      <c r="J64" s="56"/>
      <c r="K64" s="63"/>
      <c r="L64" s="53" t="s">
        <v>37</v>
      </c>
      <c r="M64" s="53"/>
      <c r="N64" s="56"/>
      <c r="O64" s="56"/>
      <c r="P64" s="64"/>
    </row>
    <row r="65" ht="15.75" customHeight="1">
      <c r="A65" s="39">
        <v>49.0</v>
      </c>
      <c r="B65" s="40"/>
      <c r="C65" s="49"/>
      <c r="D65" s="49"/>
      <c r="E65" s="62" t="s">
        <v>185</v>
      </c>
      <c r="F65" s="59" t="s">
        <v>186</v>
      </c>
      <c r="G65" s="62" t="s">
        <v>34</v>
      </c>
      <c r="H65" s="56"/>
      <c r="I65" s="59" t="s">
        <v>187</v>
      </c>
      <c r="J65" s="56"/>
      <c r="K65" s="63"/>
      <c r="L65" s="53" t="s">
        <v>37</v>
      </c>
      <c r="M65" s="53"/>
      <c r="N65" s="56"/>
      <c r="O65" s="56"/>
      <c r="P65" s="64"/>
    </row>
    <row r="66" ht="15.75" customHeight="1">
      <c r="A66" s="39">
        <v>50.0</v>
      </c>
      <c r="B66" s="40"/>
      <c r="C66" s="49"/>
      <c r="D66" s="49"/>
      <c r="E66" s="62" t="s">
        <v>188</v>
      </c>
      <c r="F66" s="59" t="s">
        <v>189</v>
      </c>
      <c r="G66" s="62" t="s">
        <v>34</v>
      </c>
      <c r="H66" s="56"/>
      <c r="I66" s="59" t="s">
        <v>190</v>
      </c>
      <c r="J66" s="56"/>
      <c r="K66" s="63"/>
      <c r="L66" s="53" t="s">
        <v>37</v>
      </c>
      <c r="M66" s="53"/>
      <c r="N66" s="56"/>
      <c r="O66" s="56"/>
      <c r="P66" s="64"/>
    </row>
    <row r="67" ht="15.75" customHeight="1">
      <c r="A67" s="39">
        <v>51.0</v>
      </c>
      <c r="B67" s="40"/>
      <c r="C67" s="49"/>
      <c r="D67" s="49"/>
      <c r="E67" s="62" t="s">
        <v>191</v>
      </c>
      <c r="F67" s="59" t="s">
        <v>192</v>
      </c>
      <c r="G67" s="62" t="s">
        <v>34</v>
      </c>
      <c r="H67" s="56"/>
      <c r="I67" s="59" t="s">
        <v>193</v>
      </c>
      <c r="J67" s="56"/>
      <c r="K67" s="63"/>
      <c r="L67" s="53" t="s">
        <v>37</v>
      </c>
      <c r="M67" s="53"/>
      <c r="N67" s="56"/>
      <c r="O67" s="56"/>
      <c r="P67" s="64"/>
    </row>
    <row r="68" ht="15.75" customHeight="1">
      <c r="A68" s="39">
        <v>52.0</v>
      </c>
      <c r="B68" s="40"/>
      <c r="C68" s="49"/>
      <c r="D68" s="49"/>
      <c r="E68" s="62" t="s">
        <v>194</v>
      </c>
      <c r="F68" s="59" t="s">
        <v>195</v>
      </c>
      <c r="G68" s="62" t="s">
        <v>34</v>
      </c>
      <c r="H68" s="56"/>
      <c r="I68" s="59" t="s">
        <v>196</v>
      </c>
      <c r="J68" s="56"/>
      <c r="K68" s="63"/>
      <c r="L68" s="53" t="s">
        <v>37</v>
      </c>
      <c r="M68" s="53"/>
      <c r="N68" s="56"/>
      <c r="O68" s="56"/>
      <c r="P68" s="64"/>
    </row>
    <row r="69" ht="15.75" customHeight="1">
      <c r="A69" s="39">
        <v>53.0</v>
      </c>
      <c r="B69" s="40"/>
      <c r="C69" s="49"/>
      <c r="D69" s="49"/>
      <c r="E69" s="62" t="s">
        <v>197</v>
      </c>
      <c r="F69" s="59" t="s">
        <v>198</v>
      </c>
      <c r="G69" s="62"/>
      <c r="H69" s="56"/>
      <c r="I69" s="59" t="s">
        <v>199</v>
      </c>
      <c r="J69" s="56"/>
      <c r="K69" s="63"/>
      <c r="L69" s="53" t="s">
        <v>12</v>
      </c>
      <c r="M69" s="53"/>
      <c r="N69" s="56"/>
      <c r="O69" s="56"/>
      <c r="P69" s="64"/>
    </row>
    <row r="70" ht="15.75" customHeight="1">
      <c r="A70" s="39">
        <v>54.0</v>
      </c>
      <c r="B70" s="40"/>
      <c r="C70" s="49"/>
      <c r="D70" s="49"/>
      <c r="E70" s="62" t="s">
        <v>200</v>
      </c>
      <c r="F70" s="59" t="s">
        <v>201</v>
      </c>
      <c r="G70" s="62" t="s">
        <v>34</v>
      </c>
      <c r="H70" s="56"/>
      <c r="I70" s="59" t="s">
        <v>202</v>
      </c>
      <c r="J70" s="56"/>
      <c r="K70" s="63"/>
      <c r="L70" s="53" t="s">
        <v>37</v>
      </c>
      <c r="M70" s="53"/>
      <c r="N70" s="56"/>
      <c r="O70" s="56"/>
      <c r="P70" s="64"/>
    </row>
    <row r="71" ht="15.75" customHeight="1">
      <c r="A71" s="39">
        <v>55.0</v>
      </c>
      <c r="B71" s="40"/>
      <c r="C71" s="49"/>
      <c r="D71" s="49"/>
      <c r="E71" s="62" t="s">
        <v>203</v>
      </c>
      <c r="F71" s="59" t="s">
        <v>204</v>
      </c>
      <c r="G71" s="62"/>
      <c r="H71" s="56"/>
      <c r="I71" s="59" t="s">
        <v>205</v>
      </c>
      <c r="J71" s="56"/>
      <c r="K71" s="63"/>
      <c r="L71" s="53" t="s">
        <v>12</v>
      </c>
      <c r="M71" s="53"/>
      <c r="N71" s="56"/>
      <c r="O71" s="56"/>
      <c r="P71" s="64"/>
    </row>
    <row r="72" ht="15.75" customHeight="1">
      <c r="A72" s="39">
        <v>56.0</v>
      </c>
      <c r="B72" s="40"/>
      <c r="C72" s="49"/>
      <c r="D72" s="49"/>
      <c r="E72" s="62" t="s">
        <v>206</v>
      </c>
      <c r="F72" s="62" t="s">
        <v>207</v>
      </c>
      <c r="G72" s="62" t="s">
        <v>34</v>
      </c>
      <c r="H72" s="56"/>
      <c r="I72" s="56" t="s">
        <v>208</v>
      </c>
      <c r="J72" s="56"/>
      <c r="K72" s="63"/>
      <c r="L72" s="53" t="s">
        <v>37</v>
      </c>
      <c r="M72" s="53"/>
      <c r="N72" s="56"/>
      <c r="O72" s="56"/>
      <c r="P72" s="64"/>
    </row>
    <row r="73" ht="15.75" customHeight="1">
      <c r="A73" s="39">
        <v>57.0</v>
      </c>
      <c r="B73" s="40"/>
      <c r="C73" s="49"/>
      <c r="D73" s="49"/>
      <c r="E73" s="62" t="s">
        <v>209</v>
      </c>
      <c r="F73" s="62" t="s">
        <v>210</v>
      </c>
      <c r="G73" s="62" t="s">
        <v>55</v>
      </c>
      <c r="H73" s="56"/>
      <c r="I73" s="56" t="s">
        <v>211</v>
      </c>
      <c r="J73" s="66" t="s">
        <v>212</v>
      </c>
      <c r="K73" s="63"/>
      <c r="L73" s="53" t="s">
        <v>58</v>
      </c>
      <c r="M73" s="53"/>
      <c r="N73" s="56"/>
      <c r="O73" s="56"/>
      <c r="P73" s="64"/>
    </row>
    <row r="74" ht="15.75" customHeight="1">
      <c r="A74" s="39">
        <v>58.0</v>
      </c>
      <c r="B74" s="40"/>
      <c r="C74" s="49"/>
      <c r="D74" s="49"/>
      <c r="E74" s="62" t="s">
        <v>213</v>
      </c>
      <c r="F74" s="62" t="s">
        <v>214</v>
      </c>
      <c r="G74" s="62" t="s">
        <v>55</v>
      </c>
      <c r="H74" s="56"/>
      <c r="I74" s="56" t="s">
        <v>215</v>
      </c>
      <c r="J74" s="56"/>
      <c r="K74" s="63"/>
      <c r="L74" s="53" t="s">
        <v>12</v>
      </c>
      <c r="M74" s="53"/>
      <c r="N74" s="56"/>
      <c r="O74" s="56"/>
      <c r="P74" s="64"/>
    </row>
    <row r="75" ht="15.75" customHeight="1">
      <c r="A75" s="39">
        <v>59.0</v>
      </c>
      <c r="B75" s="40"/>
      <c r="C75" s="65"/>
      <c r="D75" s="49"/>
      <c r="E75" s="59" t="s">
        <v>216</v>
      </c>
      <c r="F75" s="62" t="s">
        <v>217</v>
      </c>
      <c r="G75" s="62" t="s">
        <v>55</v>
      </c>
      <c r="H75" s="56"/>
      <c r="I75" s="56" t="s">
        <v>218</v>
      </c>
      <c r="J75" s="56"/>
      <c r="K75" s="63"/>
      <c r="L75" s="53" t="s">
        <v>12</v>
      </c>
      <c r="M75" s="53"/>
      <c r="N75" s="56"/>
      <c r="O75" s="56"/>
      <c r="P75" s="64"/>
    </row>
    <row r="76" ht="15.75" customHeight="1">
      <c r="A76" s="39">
        <v>60.0</v>
      </c>
      <c r="B76" s="40"/>
      <c r="C76" s="41" t="s">
        <v>219</v>
      </c>
      <c r="D76" s="49"/>
      <c r="E76" s="75" t="s">
        <v>220</v>
      </c>
      <c r="F76" s="62" t="s">
        <v>221</v>
      </c>
      <c r="G76" s="62" t="s">
        <v>34</v>
      </c>
      <c r="H76" s="56"/>
      <c r="I76" s="56" t="s">
        <v>222</v>
      </c>
      <c r="J76" s="56"/>
      <c r="K76" s="63"/>
      <c r="L76" s="53" t="s">
        <v>37</v>
      </c>
      <c r="M76" s="53"/>
      <c r="N76" s="56"/>
      <c r="O76" s="56"/>
      <c r="P76" s="64"/>
    </row>
    <row r="77" ht="15.75" customHeight="1">
      <c r="A77" s="39">
        <v>61.0</v>
      </c>
      <c r="B77" s="40"/>
      <c r="C77" s="49"/>
      <c r="D77" s="49"/>
      <c r="E77" s="39" t="s">
        <v>223</v>
      </c>
      <c r="F77" s="62" t="s">
        <v>224</v>
      </c>
      <c r="G77" s="62" t="s">
        <v>34</v>
      </c>
      <c r="H77" s="56"/>
      <c r="I77" s="56" t="s">
        <v>225</v>
      </c>
      <c r="J77" s="56"/>
      <c r="K77" s="63"/>
      <c r="L77" s="53" t="s">
        <v>37</v>
      </c>
      <c r="M77" s="53"/>
      <c r="N77" s="56"/>
      <c r="O77" s="56"/>
      <c r="P77" s="64"/>
    </row>
    <row r="78" ht="15.75" customHeight="1">
      <c r="A78" s="39">
        <v>62.0</v>
      </c>
      <c r="B78" s="40"/>
      <c r="C78" s="49"/>
      <c r="D78" s="49"/>
      <c r="E78" s="75" t="s">
        <v>226</v>
      </c>
      <c r="F78" s="62" t="s">
        <v>227</v>
      </c>
      <c r="G78" s="62" t="s">
        <v>55</v>
      </c>
      <c r="H78" s="56"/>
      <c r="I78" s="56" t="s">
        <v>228</v>
      </c>
      <c r="J78" s="66" t="s">
        <v>229</v>
      </c>
      <c r="K78" s="63"/>
      <c r="L78" s="53" t="s">
        <v>58</v>
      </c>
      <c r="M78" s="53"/>
      <c r="N78" s="56"/>
      <c r="O78" s="56"/>
      <c r="P78" s="64"/>
    </row>
    <row r="79" ht="15.75" customHeight="1">
      <c r="A79" s="39">
        <v>63.0</v>
      </c>
      <c r="B79" s="40"/>
      <c r="C79" s="49"/>
      <c r="D79" s="49"/>
      <c r="E79" s="75" t="s">
        <v>230</v>
      </c>
      <c r="F79" s="76" t="s">
        <v>231</v>
      </c>
      <c r="G79" s="62" t="s">
        <v>55</v>
      </c>
      <c r="H79" s="56"/>
      <c r="I79" s="56" t="s">
        <v>232</v>
      </c>
      <c r="J79" s="66" t="s">
        <v>233</v>
      </c>
      <c r="K79" s="63"/>
      <c r="L79" s="53" t="s">
        <v>58</v>
      </c>
      <c r="M79" s="53"/>
      <c r="N79" s="56"/>
      <c r="O79" s="56"/>
      <c r="P79" s="64"/>
    </row>
    <row r="80" ht="15.75" customHeight="1">
      <c r="A80" s="39">
        <v>64.0</v>
      </c>
      <c r="B80" s="41"/>
      <c r="C80" s="49"/>
      <c r="D80" s="77"/>
      <c r="E80" s="78" t="s">
        <v>234</v>
      </c>
      <c r="F80" s="53" t="s">
        <v>235</v>
      </c>
      <c r="G80" s="62" t="s">
        <v>34</v>
      </c>
      <c r="H80" s="79"/>
      <c r="I80" s="79" t="s">
        <v>236</v>
      </c>
      <c r="J80" s="79"/>
      <c r="K80" s="80"/>
      <c r="L80" s="81" t="s">
        <v>37</v>
      </c>
      <c r="M80" s="81"/>
      <c r="N80" s="79"/>
      <c r="O80" s="79"/>
      <c r="P80" s="82"/>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C1"/>
    <mergeCell ref="A2:C2"/>
    <mergeCell ref="A3:C3"/>
    <mergeCell ref="A4:C4"/>
    <mergeCell ref="A6:P6"/>
    <mergeCell ref="A7:P7"/>
    <mergeCell ref="J8:P8"/>
    <mergeCell ref="C17:C23"/>
    <mergeCell ref="C24:C75"/>
    <mergeCell ref="K9:P9"/>
    <mergeCell ref="K10:P10"/>
    <mergeCell ref="K11:P11"/>
    <mergeCell ref="K12:P12"/>
    <mergeCell ref="K13:P13"/>
    <mergeCell ref="A15:P15"/>
    <mergeCell ref="D17:D80"/>
    <mergeCell ref="C76:C80"/>
  </mergeCells>
  <conditionalFormatting sqref="L22:L41 L43 L45:L50">
    <cfRule type="cellIs" dxfId="0" priority="1" operator="equal">
      <formula>"Passed"</formula>
    </cfRule>
  </conditionalFormatting>
  <conditionalFormatting sqref="L22:L41 L43 L45:L80">
    <cfRule type="cellIs" dxfId="1" priority="2" operator="equal">
      <formula>"Failed"</formula>
    </cfRule>
  </conditionalFormatting>
  <conditionalFormatting sqref="L22:L41 L43 L45:L80">
    <cfRule type="cellIs" dxfId="2" priority="3" operator="equal">
      <formula>"Improving area"</formula>
    </cfRule>
  </conditionalFormatting>
  <conditionalFormatting sqref="L22:L41 L43 L45:L80">
    <cfRule type="cellIs" dxfId="3" priority="4" operator="equal">
      <formula>"Out of Scope"</formula>
    </cfRule>
  </conditionalFormatting>
  <conditionalFormatting sqref="L17">
    <cfRule type="containsText" dxfId="4" priority="5" operator="containsText" text="pass">
      <formula>NOT(ISERROR(SEARCH(("pass"),(L17))))</formula>
    </cfRule>
  </conditionalFormatting>
  <conditionalFormatting sqref="L17">
    <cfRule type="cellIs" dxfId="0" priority="6" stopIfTrue="1" operator="equal">
      <formula>"Passed"</formula>
    </cfRule>
  </conditionalFormatting>
  <conditionalFormatting sqref="L17">
    <cfRule type="cellIs" dxfId="1" priority="7" stopIfTrue="1" operator="equal">
      <formula>"Failed"</formula>
    </cfRule>
  </conditionalFormatting>
  <conditionalFormatting sqref="L17">
    <cfRule type="cellIs" dxfId="2" priority="8" stopIfTrue="1" operator="equal">
      <formula>"Improving Area"</formula>
    </cfRule>
  </conditionalFormatting>
  <conditionalFormatting sqref="L17">
    <cfRule type="cellIs" dxfId="3" priority="9" stopIfTrue="1" operator="equal">
      <formula>"Out of Scope"</formula>
    </cfRule>
  </conditionalFormatting>
  <conditionalFormatting sqref="L18">
    <cfRule type="cellIs" dxfId="0" priority="10" operator="equal">
      <formula>"Passed"</formula>
    </cfRule>
  </conditionalFormatting>
  <conditionalFormatting sqref="L18">
    <cfRule type="cellIs" dxfId="1" priority="11" operator="equal">
      <formula>"Failed"</formula>
    </cfRule>
  </conditionalFormatting>
  <conditionalFormatting sqref="L18">
    <cfRule type="cellIs" dxfId="2" priority="12" operator="equal">
      <formula>"Not Executed"</formula>
    </cfRule>
  </conditionalFormatting>
  <conditionalFormatting sqref="L18">
    <cfRule type="cellIs" dxfId="3" priority="13" operator="equal">
      <formula>"Out of Scope"</formula>
    </cfRule>
  </conditionalFormatting>
  <conditionalFormatting sqref="L19">
    <cfRule type="cellIs" dxfId="0" priority="14" operator="equal">
      <formula>"Passed"</formula>
    </cfRule>
  </conditionalFormatting>
  <conditionalFormatting sqref="L19">
    <cfRule type="cellIs" dxfId="1" priority="15" operator="equal">
      <formula>"Failed"</formula>
    </cfRule>
  </conditionalFormatting>
  <conditionalFormatting sqref="L19">
    <cfRule type="cellIs" dxfId="2" priority="16" operator="equal">
      <formula>"Not Executed"</formula>
    </cfRule>
  </conditionalFormatting>
  <conditionalFormatting sqref="L19">
    <cfRule type="cellIs" dxfId="3" priority="17" operator="equal">
      <formula>"Out of Scope"</formula>
    </cfRule>
  </conditionalFormatting>
  <conditionalFormatting sqref="L20 L51:L80">
    <cfRule type="cellIs" dxfId="0" priority="18" stopIfTrue="1" operator="equal">
      <formula>"Passed"</formula>
    </cfRule>
  </conditionalFormatting>
  <conditionalFormatting sqref="L20">
    <cfRule type="cellIs" dxfId="1" priority="19" stopIfTrue="1" operator="equal">
      <formula>"Failed"</formula>
    </cfRule>
  </conditionalFormatting>
  <conditionalFormatting sqref="L20">
    <cfRule type="cellIs" dxfId="2" priority="20" stopIfTrue="1" operator="equal">
      <formula>"Not Executed"</formula>
    </cfRule>
  </conditionalFormatting>
  <conditionalFormatting sqref="L20">
    <cfRule type="cellIs" dxfId="3" priority="21" stopIfTrue="1" operator="equal">
      <formula>"Out of Scope"</formula>
    </cfRule>
  </conditionalFormatting>
  <conditionalFormatting sqref="L21">
    <cfRule type="cellIs" dxfId="0" priority="22" operator="equal">
      <formula>"Passed"</formula>
    </cfRule>
  </conditionalFormatting>
  <conditionalFormatting sqref="L21">
    <cfRule type="cellIs" dxfId="1" priority="23" operator="equal">
      <formula>"Failed"</formula>
    </cfRule>
  </conditionalFormatting>
  <conditionalFormatting sqref="L21">
    <cfRule type="cellIs" dxfId="2" priority="24" operator="equal">
      <formula>"Not Executed"</formula>
    </cfRule>
  </conditionalFormatting>
  <conditionalFormatting sqref="L21">
    <cfRule type="cellIs" dxfId="3" priority="25" operator="equal">
      <formula>"Out of Scope"</formula>
    </cfRule>
  </conditionalFormatting>
  <conditionalFormatting sqref="A9">
    <cfRule type="colorScale" priority="26">
      <colorScale>
        <cfvo type="min"/>
        <cfvo type="percentile" val="50"/>
        <cfvo type="max"/>
        <color rgb="FFF8696B"/>
        <color rgb="FFFFEB84"/>
        <color rgb="FF63BE7B"/>
      </colorScale>
    </cfRule>
  </conditionalFormatting>
  <conditionalFormatting sqref="A9">
    <cfRule type="colorScale" priority="27">
      <colorScale>
        <cfvo type="min"/>
        <cfvo type="max"/>
        <color rgb="FF63BE7B"/>
        <color rgb="FFFCFCFF"/>
      </colorScale>
    </cfRule>
  </conditionalFormatting>
  <conditionalFormatting sqref="J9:K13">
    <cfRule type="colorScale" priority="28">
      <colorScale>
        <cfvo type="min"/>
        <cfvo type="percentile" val="50"/>
        <cfvo type="max"/>
        <color rgb="FFF8696B"/>
        <color rgb="FFFFEB84"/>
        <color rgb="FF63BE7B"/>
      </colorScale>
    </cfRule>
  </conditionalFormatting>
  <conditionalFormatting sqref="J9:K13">
    <cfRule type="colorScale" priority="29">
      <colorScale>
        <cfvo type="min"/>
        <cfvo type="max"/>
        <color rgb="FF63BE7B"/>
        <color rgb="FFFCFCFF"/>
      </colorScale>
    </cfRule>
  </conditionalFormatting>
  <conditionalFormatting sqref="K44">
    <cfRule type="cellIs" dxfId="0" priority="30" operator="equal">
      <formula>"Passed"</formula>
    </cfRule>
  </conditionalFormatting>
  <conditionalFormatting sqref="K44">
    <cfRule type="cellIs" dxfId="1" priority="31" operator="equal">
      <formula>"Failed"</formula>
    </cfRule>
  </conditionalFormatting>
  <conditionalFormatting sqref="K44">
    <cfRule type="cellIs" dxfId="2" priority="32" operator="equal">
      <formula>"Not Executed"</formula>
    </cfRule>
  </conditionalFormatting>
  <conditionalFormatting sqref="K44">
    <cfRule type="cellIs" dxfId="3" priority="33" operator="equal">
      <formula>"Out of Scope"</formula>
    </cfRule>
  </conditionalFormatting>
  <conditionalFormatting sqref="K44">
    <cfRule type="colorScale" priority="34">
      <colorScale>
        <cfvo type="min"/>
        <cfvo type="percentile" val="50"/>
        <cfvo type="max"/>
        <color rgb="FFF8696B"/>
        <color rgb="FFFFEB84"/>
        <color rgb="FF63BE7B"/>
      </colorScale>
    </cfRule>
  </conditionalFormatting>
  <conditionalFormatting sqref="L44">
    <cfRule type="cellIs" dxfId="0" priority="35" stopIfTrue="1" operator="equal">
      <formula>"Passed"</formula>
    </cfRule>
  </conditionalFormatting>
  <conditionalFormatting sqref="L44">
    <cfRule type="cellIs" dxfId="1" priority="36" stopIfTrue="1" operator="equal">
      <formula>"Failed"</formula>
    </cfRule>
  </conditionalFormatting>
  <conditionalFormatting sqref="L44">
    <cfRule type="cellIs" dxfId="2" priority="37" stopIfTrue="1" operator="equal">
      <formula>"Not Executed"</formula>
    </cfRule>
  </conditionalFormatting>
  <conditionalFormatting sqref="L44">
    <cfRule type="cellIs" dxfId="3" priority="38" stopIfTrue="1" operator="equal">
      <formula>"Out of Scope"</formula>
    </cfRule>
  </conditionalFormatting>
  <conditionalFormatting sqref="L18">
    <cfRule type="containsText" dxfId="4" priority="39" operator="containsText" text="pass">
      <formula>NOT(ISERROR(SEARCH(("pass"),(L18))))</formula>
    </cfRule>
  </conditionalFormatting>
  <conditionalFormatting sqref="L18">
    <cfRule type="cellIs" dxfId="0" priority="40" stopIfTrue="1" operator="equal">
      <formula>"Passed"</formula>
    </cfRule>
  </conditionalFormatting>
  <conditionalFormatting sqref="L18">
    <cfRule type="cellIs" dxfId="1" priority="41" stopIfTrue="1" operator="equal">
      <formula>"Failed"</formula>
    </cfRule>
  </conditionalFormatting>
  <conditionalFormatting sqref="L18">
    <cfRule type="cellIs" dxfId="2" priority="42" stopIfTrue="1" operator="equal">
      <formula>"Improving Area"</formula>
    </cfRule>
  </conditionalFormatting>
  <conditionalFormatting sqref="L18">
    <cfRule type="cellIs" dxfId="3" priority="43" stopIfTrue="1" operator="equal">
      <formula>"Out of Scope"</formula>
    </cfRule>
  </conditionalFormatting>
  <conditionalFormatting sqref="L19">
    <cfRule type="cellIs" dxfId="0" priority="44" operator="equal">
      <formula>"Passed"</formula>
    </cfRule>
  </conditionalFormatting>
  <conditionalFormatting sqref="L19">
    <cfRule type="cellIs" dxfId="1" priority="45" operator="equal">
      <formula>"Failed"</formula>
    </cfRule>
  </conditionalFormatting>
  <conditionalFormatting sqref="L19">
    <cfRule type="cellIs" dxfId="2" priority="46" operator="equal">
      <formula>"Not Executed"</formula>
    </cfRule>
  </conditionalFormatting>
  <conditionalFormatting sqref="L19">
    <cfRule type="cellIs" dxfId="3" priority="47" operator="equal">
      <formula>"Out of Scope"</formula>
    </cfRule>
  </conditionalFormatting>
  <conditionalFormatting sqref="L19">
    <cfRule type="containsText" dxfId="4" priority="48" operator="containsText" text="pass">
      <formula>NOT(ISERROR(SEARCH(("pass"),(L19))))</formula>
    </cfRule>
  </conditionalFormatting>
  <conditionalFormatting sqref="L19">
    <cfRule type="cellIs" dxfId="0" priority="49" stopIfTrue="1" operator="equal">
      <formula>"Passed"</formula>
    </cfRule>
  </conditionalFormatting>
  <conditionalFormatting sqref="L19">
    <cfRule type="cellIs" dxfId="1" priority="50" stopIfTrue="1" operator="equal">
      <formula>"Failed"</formula>
    </cfRule>
  </conditionalFormatting>
  <conditionalFormatting sqref="L19">
    <cfRule type="cellIs" dxfId="2" priority="51" stopIfTrue="1" operator="equal">
      <formula>"Improving Area"</formula>
    </cfRule>
  </conditionalFormatting>
  <conditionalFormatting sqref="L19">
    <cfRule type="cellIs" dxfId="3" priority="52" stopIfTrue="1" operator="equal">
      <formula>"Out of Scope"</formula>
    </cfRule>
  </conditionalFormatting>
  <conditionalFormatting sqref="L21">
    <cfRule type="cellIs" dxfId="0" priority="53" operator="equal">
      <formula>"Passed"</formula>
    </cfRule>
  </conditionalFormatting>
  <conditionalFormatting sqref="L21">
    <cfRule type="cellIs" dxfId="1" priority="54" operator="equal">
      <formula>"Failed"</formula>
    </cfRule>
  </conditionalFormatting>
  <conditionalFormatting sqref="L21">
    <cfRule type="cellIs" dxfId="2" priority="55" operator="equal">
      <formula>"Not Executed"</formula>
    </cfRule>
  </conditionalFormatting>
  <conditionalFormatting sqref="L21">
    <cfRule type="cellIs" dxfId="3" priority="56" operator="equal">
      <formula>"Out of Scope"</formula>
    </cfRule>
  </conditionalFormatting>
  <conditionalFormatting sqref="L19">
    <cfRule type="cellIs" dxfId="0" priority="57" operator="equal">
      <formula>"Passed"</formula>
    </cfRule>
  </conditionalFormatting>
  <conditionalFormatting sqref="L19">
    <cfRule type="cellIs" dxfId="1" priority="58" operator="equal">
      <formula>"Failed"</formula>
    </cfRule>
  </conditionalFormatting>
  <conditionalFormatting sqref="L19">
    <cfRule type="cellIs" dxfId="2" priority="59" operator="equal">
      <formula>"Not Executed"</formula>
    </cfRule>
  </conditionalFormatting>
  <conditionalFormatting sqref="L19">
    <cfRule type="cellIs" dxfId="3" priority="60" operator="equal">
      <formula>"Out of Scope"</formula>
    </cfRule>
  </conditionalFormatting>
  <conditionalFormatting sqref="L19">
    <cfRule type="cellIs" dxfId="0" priority="61" operator="equal">
      <formula>"Passed"</formula>
    </cfRule>
  </conditionalFormatting>
  <conditionalFormatting sqref="L19">
    <cfRule type="cellIs" dxfId="1" priority="62" operator="equal">
      <formula>"Failed"</formula>
    </cfRule>
  </conditionalFormatting>
  <conditionalFormatting sqref="L19">
    <cfRule type="cellIs" dxfId="2" priority="63" operator="equal">
      <formula>"Not Executed"</formula>
    </cfRule>
  </conditionalFormatting>
  <conditionalFormatting sqref="L19">
    <cfRule type="cellIs" dxfId="3" priority="64" operator="equal">
      <formula>"Out of Scope"</formula>
    </cfRule>
  </conditionalFormatting>
  <conditionalFormatting sqref="L18">
    <cfRule type="cellIs" dxfId="0" priority="65" operator="equal">
      <formula>"Passed"</formula>
    </cfRule>
  </conditionalFormatting>
  <conditionalFormatting sqref="L18">
    <cfRule type="cellIs" dxfId="1" priority="66" operator="equal">
      <formula>"Failed"</formula>
    </cfRule>
  </conditionalFormatting>
  <conditionalFormatting sqref="L18">
    <cfRule type="cellIs" dxfId="2" priority="67" operator="equal">
      <formula>"Not Executed"</formula>
    </cfRule>
  </conditionalFormatting>
  <conditionalFormatting sqref="L18">
    <cfRule type="cellIs" dxfId="3" priority="68" operator="equal">
      <formula>"Out of Scope"</formula>
    </cfRule>
  </conditionalFormatting>
  <conditionalFormatting sqref="L18">
    <cfRule type="cellIs" dxfId="0" priority="69" operator="equal">
      <formula>"Passed"</formula>
    </cfRule>
  </conditionalFormatting>
  <conditionalFormatting sqref="L18">
    <cfRule type="cellIs" dxfId="1" priority="70" operator="equal">
      <formula>"Failed"</formula>
    </cfRule>
  </conditionalFormatting>
  <conditionalFormatting sqref="L18">
    <cfRule type="cellIs" dxfId="2" priority="71" operator="equal">
      <formula>"Not Executed"</formula>
    </cfRule>
  </conditionalFormatting>
  <conditionalFormatting sqref="L18">
    <cfRule type="cellIs" dxfId="3" priority="72" operator="equal">
      <formula>"Out of Scope"</formula>
    </cfRule>
  </conditionalFormatting>
  <conditionalFormatting sqref="L18">
    <cfRule type="containsText" dxfId="4" priority="73" operator="containsText" text="pass">
      <formula>NOT(ISERROR(SEARCH(("pass"),(L18))))</formula>
    </cfRule>
  </conditionalFormatting>
  <conditionalFormatting sqref="L18">
    <cfRule type="cellIs" dxfId="0" priority="74" stopIfTrue="1" operator="equal">
      <formula>"Passed"</formula>
    </cfRule>
  </conditionalFormatting>
  <conditionalFormatting sqref="L18">
    <cfRule type="cellIs" dxfId="1" priority="75" stopIfTrue="1" operator="equal">
      <formula>"Failed"</formula>
    </cfRule>
  </conditionalFormatting>
  <conditionalFormatting sqref="L18">
    <cfRule type="cellIs" dxfId="2" priority="76" stopIfTrue="1" operator="equal">
      <formula>"Improving Area"</formula>
    </cfRule>
  </conditionalFormatting>
  <conditionalFormatting sqref="L18">
    <cfRule type="cellIs" dxfId="3" priority="77" stopIfTrue="1" operator="equal">
      <formula>"Out of Scope"</formula>
    </cfRule>
  </conditionalFormatting>
  <conditionalFormatting sqref="L18">
    <cfRule type="cellIs" dxfId="0" priority="78" operator="equal">
      <formula>"Passed"</formula>
    </cfRule>
  </conditionalFormatting>
  <conditionalFormatting sqref="L18">
    <cfRule type="cellIs" dxfId="1" priority="79" operator="equal">
      <formula>"Failed"</formula>
    </cfRule>
  </conditionalFormatting>
  <conditionalFormatting sqref="L18">
    <cfRule type="cellIs" dxfId="2" priority="80" operator="equal">
      <formula>"Not Executed"</formula>
    </cfRule>
  </conditionalFormatting>
  <conditionalFormatting sqref="L18">
    <cfRule type="cellIs" dxfId="3" priority="81" operator="equal">
      <formula>"Out of Scope"</formula>
    </cfRule>
  </conditionalFormatting>
  <conditionalFormatting sqref="L18">
    <cfRule type="cellIs" dxfId="0" priority="82" operator="equal">
      <formula>"Passed"</formula>
    </cfRule>
  </conditionalFormatting>
  <conditionalFormatting sqref="L18">
    <cfRule type="cellIs" dxfId="1" priority="83" operator="equal">
      <formula>"Failed"</formula>
    </cfRule>
  </conditionalFormatting>
  <conditionalFormatting sqref="L18">
    <cfRule type="cellIs" dxfId="2" priority="84" operator="equal">
      <formula>"Not Executed"</formula>
    </cfRule>
  </conditionalFormatting>
  <conditionalFormatting sqref="L18">
    <cfRule type="cellIs" dxfId="3" priority="85" operator="equal">
      <formula>"Out of Scope"</formula>
    </cfRule>
  </conditionalFormatting>
  <conditionalFormatting sqref="L17">
    <cfRule type="cellIs" dxfId="0" priority="86" operator="equal">
      <formula>"Passed"</formula>
    </cfRule>
  </conditionalFormatting>
  <conditionalFormatting sqref="L17">
    <cfRule type="cellIs" dxfId="1" priority="87" operator="equal">
      <formula>"Failed"</formula>
    </cfRule>
  </conditionalFormatting>
  <conditionalFormatting sqref="L17">
    <cfRule type="cellIs" dxfId="2" priority="88" operator="equal">
      <formula>"Not Executed"</formula>
    </cfRule>
  </conditionalFormatting>
  <conditionalFormatting sqref="L17">
    <cfRule type="cellIs" dxfId="3" priority="89" operator="equal">
      <formula>"Out of Scope"</formula>
    </cfRule>
  </conditionalFormatting>
  <conditionalFormatting sqref="L17">
    <cfRule type="containsText" dxfId="4" priority="90" operator="containsText" text="pass">
      <formula>NOT(ISERROR(SEARCH(("pass"),(L17))))</formula>
    </cfRule>
  </conditionalFormatting>
  <conditionalFormatting sqref="L17">
    <cfRule type="cellIs" dxfId="0" priority="91" stopIfTrue="1" operator="equal">
      <formula>"Passed"</formula>
    </cfRule>
  </conditionalFormatting>
  <conditionalFormatting sqref="L17">
    <cfRule type="cellIs" dxfId="1" priority="92" stopIfTrue="1" operator="equal">
      <formula>"Failed"</formula>
    </cfRule>
  </conditionalFormatting>
  <conditionalFormatting sqref="L17">
    <cfRule type="cellIs" dxfId="2" priority="93" stopIfTrue="1" operator="equal">
      <formula>"Improving Area"</formula>
    </cfRule>
  </conditionalFormatting>
  <conditionalFormatting sqref="L17">
    <cfRule type="cellIs" dxfId="3" priority="94" stopIfTrue="1" operator="equal">
      <formula>"Out of Scope"</formula>
    </cfRule>
  </conditionalFormatting>
  <conditionalFormatting sqref="L17">
    <cfRule type="cellIs" dxfId="0" priority="95" operator="equal">
      <formula>"Passed"</formula>
    </cfRule>
  </conditionalFormatting>
  <conditionalFormatting sqref="L17">
    <cfRule type="cellIs" dxfId="1" priority="96" operator="equal">
      <formula>"Failed"</formula>
    </cfRule>
  </conditionalFormatting>
  <conditionalFormatting sqref="L17">
    <cfRule type="cellIs" dxfId="2" priority="97" operator="equal">
      <formula>"Not Executed"</formula>
    </cfRule>
  </conditionalFormatting>
  <conditionalFormatting sqref="L17">
    <cfRule type="cellIs" dxfId="3" priority="98" operator="equal">
      <formula>"Out of Scope"</formula>
    </cfRule>
  </conditionalFormatting>
  <conditionalFormatting sqref="L17">
    <cfRule type="cellIs" dxfId="0" priority="99" operator="equal">
      <formula>"Passed"</formula>
    </cfRule>
  </conditionalFormatting>
  <conditionalFormatting sqref="L17">
    <cfRule type="cellIs" dxfId="1" priority="100" operator="equal">
      <formula>"Failed"</formula>
    </cfRule>
  </conditionalFormatting>
  <conditionalFormatting sqref="L17">
    <cfRule type="cellIs" dxfId="2" priority="101" operator="equal">
      <formula>"Not Executed"</formula>
    </cfRule>
  </conditionalFormatting>
  <conditionalFormatting sqref="L17">
    <cfRule type="cellIs" dxfId="3" priority="102" operator="equal">
      <formula>"Out of Scope"</formula>
    </cfRule>
  </conditionalFormatting>
  <conditionalFormatting sqref="L17">
    <cfRule type="containsText" dxfId="4" priority="103" operator="containsText" text="pass">
      <formula>NOT(ISERROR(SEARCH(("pass"),(L17))))</formula>
    </cfRule>
  </conditionalFormatting>
  <conditionalFormatting sqref="L17">
    <cfRule type="cellIs" dxfId="0" priority="104" stopIfTrue="1" operator="equal">
      <formula>"Passed"</formula>
    </cfRule>
  </conditionalFormatting>
  <conditionalFormatting sqref="L17">
    <cfRule type="cellIs" dxfId="1" priority="105" stopIfTrue="1" operator="equal">
      <formula>"Failed"</formula>
    </cfRule>
  </conditionalFormatting>
  <conditionalFormatting sqref="L17">
    <cfRule type="cellIs" dxfId="2" priority="106" stopIfTrue="1" operator="equal">
      <formula>"Improving Area"</formula>
    </cfRule>
  </conditionalFormatting>
  <conditionalFormatting sqref="L17">
    <cfRule type="cellIs" dxfId="3" priority="107" stopIfTrue="1" operator="equal">
      <formula>"Out of Scope"</formula>
    </cfRule>
  </conditionalFormatting>
  <conditionalFormatting sqref="L17">
    <cfRule type="cellIs" dxfId="0" priority="108" operator="equal">
      <formula>"Passed"</formula>
    </cfRule>
  </conditionalFormatting>
  <conditionalFormatting sqref="L17">
    <cfRule type="cellIs" dxfId="1" priority="109" operator="equal">
      <formula>"Failed"</formula>
    </cfRule>
  </conditionalFormatting>
  <conditionalFormatting sqref="L17">
    <cfRule type="cellIs" dxfId="2" priority="110" operator="equal">
      <formula>"Not Executed"</formula>
    </cfRule>
  </conditionalFormatting>
  <conditionalFormatting sqref="L17">
    <cfRule type="cellIs" dxfId="3" priority="111" operator="equal">
      <formula>"Out of Scope"</formula>
    </cfRule>
  </conditionalFormatting>
  <conditionalFormatting sqref="L17">
    <cfRule type="cellIs" dxfId="0" priority="112" operator="equal">
      <formula>"Passed"</formula>
    </cfRule>
  </conditionalFormatting>
  <conditionalFormatting sqref="L17">
    <cfRule type="cellIs" dxfId="1" priority="113" operator="equal">
      <formula>"Failed"</formula>
    </cfRule>
  </conditionalFormatting>
  <conditionalFormatting sqref="L17">
    <cfRule type="cellIs" dxfId="2" priority="114" operator="equal">
      <formula>"Not Executed"</formula>
    </cfRule>
  </conditionalFormatting>
  <conditionalFormatting sqref="L17">
    <cfRule type="cellIs" dxfId="3" priority="115" operator="equal">
      <formula>"Out of Scope"</formula>
    </cfRule>
  </conditionalFormatting>
  <conditionalFormatting sqref="L42">
    <cfRule type="cellIs" dxfId="0" priority="116" operator="equal">
      <formula>"Passed"</formula>
    </cfRule>
  </conditionalFormatting>
  <conditionalFormatting sqref="L42">
    <cfRule type="cellIs" dxfId="1" priority="117" operator="equal">
      <formula>"Failed"</formula>
    </cfRule>
  </conditionalFormatting>
  <conditionalFormatting sqref="L42">
    <cfRule type="cellIs" dxfId="2" priority="118" operator="equal">
      <formula>"Not Executed"</formula>
    </cfRule>
  </conditionalFormatting>
  <conditionalFormatting sqref="L42">
    <cfRule type="cellIs" dxfId="3" priority="119" operator="equal">
      <formula>"Out of Scope"</formula>
    </cfRule>
  </conditionalFormatting>
  <conditionalFormatting sqref="L42">
    <cfRule type="colorScale" priority="120">
      <colorScale>
        <cfvo type="min"/>
        <cfvo type="percentile" val="50"/>
        <cfvo type="max"/>
        <color rgb="FFF8696B"/>
        <color rgb="FFFFEB84"/>
        <color rgb="FF63BE7B"/>
      </colorScale>
    </cfRule>
  </conditionalFormatting>
  <conditionalFormatting sqref="L17:L41 L43:L50">
    <cfRule type="colorScale" priority="121">
      <colorScale>
        <cfvo type="min"/>
        <cfvo type="percentile" val="50"/>
        <cfvo type="max"/>
        <color rgb="FFF8696B"/>
        <color rgb="FFFFEB84"/>
        <color rgb="FF63BE7B"/>
      </colorScale>
    </cfRule>
  </conditionalFormatting>
  <conditionalFormatting sqref="L51:L80">
    <cfRule type="colorScale" priority="122">
      <colorScale>
        <cfvo type="min"/>
        <cfvo type="percentile" val="50"/>
        <cfvo type="max"/>
        <color rgb="FFF8696B"/>
        <color rgb="FFFFEB84"/>
        <color rgb="FF63BE7B"/>
      </colorScale>
    </cfRule>
  </conditionalFormatting>
  <dataValidations>
    <dataValidation type="list" allowBlank="1" sqref="L17:L43 L45:L51">
      <formula1>"Passed,Failed,Not Executed,Out of Scope"</formula1>
    </dataValidation>
  </dataValidations>
  <hyperlinks>
    <hyperlink r:id="rId1" ref="D2"/>
    <hyperlink r:id="rId2" ref="J23"/>
    <hyperlink r:id="rId3" ref="J32"/>
    <hyperlink r:id="rId4" ref="J33"/>
    <hyperlink r:id="rId5" ref="J52"/>
    <hyperlink r:id="rId6" ref="J73"/>
    <hyperlink r:id="rId7" ref="J78"/>
    <hyperlink r:id="rId8" ref="J79"/>
  </hyperlinks>
  <printOptions/>
  <pageMargins bottom="0.75" footer="0.0" header="0.0" left="0.7" right="0.7" top="0.75"/>
  <pageSetup orientation="portrait"/>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21.71"/>
    <col customWidth="1" min="4" max="4" width="19.57"/>
    <col customWidth="1" min="5" max="5" width="17.0"/>
    <col customWidth="1" min="6" max="11" width="14.29"/>
    <col customWidth="1" min="12" max="12" width="40.71"/>
    <col customWidth="1" min="13" max="13" width="28.14"/>
    <col customWidth="1" min="14" max="14" width="21.29"/>
    <col customWidth="1" min="15" max="15" width="30.71"/>
    <col customWidth="1" min="16" max="16" width="25.0"/>
    <col customWidth="1" min="17" max="18" width="14.29"/>
    <col customWidth="1" min="19" max="26" width="12.71"/>
  </cols>
  <sheetData>
    <row r="1" ht="15.75" customHeight="1"/>
    <row r="2" ht="8.25" customHeight="1"/>
    <row r="3" ht="25.5" customHeight="1">
      <c r="B3" s="83" t="s">
        <v>237</v>
      </c>
      <c r="C3" s="84"/>
      <c r="D3" s="84"/>
      <c r="E3" s="84"/>
      <c r="F3" s="84"/>
      <c r="G3" s="85"/>
      <c r="K3" s="86"/>
    </row>
    <row r="4" ht="15.75" customHeight="1">
      <c r="B4" s="1" t="s">
        <v>238</v>
      </c>
      <c r="C4" s="2"/>
      <c r="D4" s="3"/>
      <c r="E4" s="5" t="s">
        <v>3</v>
      </c>
      <c r="F4" s="5"/>
      <c r="G4" s="5"/>
    </row>
    <row r="5" ht="15.75" customHeight="1">
      <c r="B5" s="1" t="s">
        <v>239</v>
      </c>
      <c r="C5" s="2"/>
      <c r="D5" s="3"/>
      <c r="E5" s="87" t="s">
        <v>240</v>
      </c>
      <c r="F5" s="7"/>
      <c r="G5" s="7"/>
      <c r="I5" s="88" t="s">
        <v>241</v>
      </c>
      <c r="J5" s="88" t="s">
        <v>242</v>
      </c>
      <c r="L5" s="89" t="s">
        <v>243</v>
      </c>
    </row>
    <row r="6" ht="15.75" customHeight="1">
      <c r="B6" s="1" t="s">
        <v>244</v>
      </c>
      <c r="C6" s="2"/>
      <c r="D6" s="3"/>
      <c r="E6" s="5"/>
      <c r="F6" s="5"/>
      <c r="G6" s="5"/>
      <c r="I6" s="90">
        <f>C14</f>
        <v>46</v>
      </c>
      <c r="J6" s="91" t="s">
        <v>10</v>
      </c>
      <c r="K6" s="92"/>
      <c r="L6" s="92"/>
    </row>
    <row r="7" ht="15.75" customHeight="1">
      <c r="B7" s="1" t="s">
        <v>245</v>
      </c>
      <c r="C7" s="2"/>
      <c r="D7" s="3"/>
      <c r="E7" s="7" t="s">
        <v>246</v>
      </c>
      <c r="F7" s="7"/>
      <c r="G7" s="7"/>
      <c r="I7" s="90">
        <f>D14</f>
        <v>11</v>
      </c>
      <c r="J7" s="91" t="s">
        <v>11</v>
      </c>
      <c r="K7" s="92"/>
      <c r="L7" s="93"/>
    </row>
    <row r="8" ht="15.75" customHeight="1">
      <c r="B8" s="1" t="s">
        <v>247</v>
      </c>
      <c r="C8" s="2"/>
      <c r="D8" s="3"/>
      <c r="E8" s="5" t="s">
        <v>246</v>
      </c>
      <c r="F8" s="5"/>
      <c r="G8" s="5"/>
      <c r="I8" s="90">
        <f>E14</f>
        <v>4</v>
      </c>
      <c r="J8" s="94" t="s">
        <v>248</v>
      </c>
      <c r="L8" s="95" t="s">
        <v>249</v>
      </c>
      <c r="M8" s="96" t="s">
        <v>250</v>
      </c>
      <c r="N8" s="96" t="s">
        <v>251</v>
      </c>
      <c r="O8" s="96"/>
      <c r="P8" s="96"/>
    </row>
    <row r="9" ht="15.75" customHeight="1">
      <c r="B9" s="1" t="s">
        <v>252</v>
      </c>
      <c r="C9" s="2"/>
      <c r="D9" s="3"/>
      <c r="E9" s="87"/>
      <c r="F9" s="7"/>
      <c r="G9" s="7"/>
      <c r="I9" s="90">
        <f>F14</f>
        <v>3</v>
      </c>
      <c r="J9" s="94" t="s">
        <v>13</v>
      </c>
      <c r="L9" s="92"/>
      <c r="M9" s="92">
        <v>64.0</v>
      </c>
      <c r="N9" s="92" t="s">
        <v>253</v>
      </c>
      <c r="O9" s="92" t="s">
        <v>254</v>
      </c>
      <c r="P9" s="92"/>
    </row>
    <row r="10" ht="15.75" customHeight="1">
      <c r="B10" s="97" t="s">
        <v>255</v>
      </c>
      <c r="C10" s="98"/>
      <c r="D10" s="98"/>
      <c r="E10" s="98"/>
      <c r="F10" s="98"/>
      <c r="G10" s="99"/>
    </row>
    <row r="11" ht="15.75" customHeight="1">
      <c r="B11" s="100"/>
      <c r="C11" s="101"/>
      <c r="D11" s="101"/>
      <c r="E11" s="101"/>
      <c r="F11" s="101"/>
      <c r="G11" s="102"/>
    </row>
    <row r="12" ht="15.75" customHeight="1">
      <c r="B12" s="103" t="s">
        <v>256</v>
      </c>
      <c r="C12" s="104" t="s">
        <v>10</v>
      </c>
      <c r="D12" s="105" t="s">
        <v>11</v>
      </c>
      <c r="E12" s="106" t="s">
        <v>248</v>
      </c>
      <c r="F12" s="104" t="s">
        <v>257</v>
      </c>
      <c r="G12" s="107" t="s">
        <v>258</v>
      </c>
      <c r="L12" s="108"/>
      <c r="M12" s="108"/>
      <c r="N12" s="108"/>
      <c r="O12" s="108"/>
      <c r="P12" s="108"/>
      <c r="Q12" s="108"/>
      <c r="R12" s="108"/>
    </row>
    <row r="13" ht="48.0" customHeight="1">
      <c r="A13" s="109"/>
      <c r="B13" s="110"/>
      <c r="C13" s="111">
        <v>46.0</v>
      </c>
      <c r="D13" s="112">
        <v>11.0</v>
      </c>
      <c r="E13" s="113">
        <v>4.0</v>
      </c>
      <c r="F13" s="114">
        <v>3.0</v>
      </c>
      <c r="G13" s="115">
        <f>SUM(C13:F13)</f>
        <v>64</v>
      </c>
      <c r="H13" s="109"/>
      <c r="I13" s="109"/>
      <c r="J13" s="109"/>
      <c r="K13" s="109"/>
      <c r="L13" s="116"/>
      <c r="M13" s="109"/>
      <c r="N13" s="109"/>
      <c r="O13" s="109"/>
      <c r="P13" s="109"/>
      <c r="Q13" s="109"/>
      <c r="R13" s="109"/>
      <c r="S13" s="109"/>
      <c r="T13" s="109"/>
      <c r="U13" s="109"/>
      <c r="V13" s="109"/>
      <c r="W13" s="109"/>
      <c r="X13" s="109"/>
      <c r="Y13" s="109"/>
      <c r="Z13" s="109"/>
    </row>
    <row r="14">
      <c r="B14" s="117" t="s">
        <v>259</v>
      </c>
      <c r="C14" s="118">
        <f t="shared" ref="C14:G14" si="1">SUM(C13)</f>
        <v>46</v>
      </c>
      <c r="D14" s="119">
        <f t="shared" si="1"/>
        <v>11</v>
      </c>
      <c r="E14" s="118">
        <f t="shared" si="1"/>
        <v>4</v>
      </c>
      <c r="F14" s="118">
        <f t="shared" si="1"/>
        <v>3</v>
      </c>
      <c r="G14" s="120">
        <f t="shared" si="1"/>
        <v>64</v>
      </c>
      <c r="L14" s="86"/>
      <c r="M14" s="121"/>
      <c r="N14" s="121"/>
      <c r="O14" s="121"/>
      <c r="P14" s="121"/>
      <c r="Q14" s="121"/>
      <c r="R14" s="121"/>
    </row>
    <row r="15" ht="15.75" customHeight="1">
      <c r="B15" s="122"/>
      <c r="C15" s="122"/>
      <c r="D15" s="122"/>
      <c r="E15" s="122"/>
      <c r="F15" s="122"/>
      <c r="G15" s="122"/>
      <c r="L15" s="86"/>
      <c r="M15" s="121"/>
      <c r="N15" s="121"/>
      <c r="O15" s="121"/>
      <c r="P15" s="121"/>
      <c r="Q15" s="121"/>
      <c r="R15" s="121"/>
    </row>
    <row r="16" ht="15.75" customHeight="1">
      <c r="B16" s="122"/>
      <c r="C16" s="122"/>
      <c r="D16" s="122"/>
      <c r="E16" s="122"/>
      <c r="F16" s="122"/>
      <c r="G16" s="122"/>
      <c r="L16" s="108"/>
      <c r="M16" s="108"/>
      <c r="N16" s="108"/>
      <c r="O16" s="108"/>
      <c r="P16" s="108"/>
      <c r="Q16" s="108"/>
      <c r="R16" s="108"/>
    </row>
    <row r="17">
      <c r="B17" s="123" t="s">
        <v>260</v>
      </c>
      <c r="C17" s="123" t="s">
        <v>261</v>
      </c>
      <c r="D17" s="123" t="s">
        <v>262</v>
      </c>
      <c r="E17" s="123" t="s">
        <v>263</v>
      </c>
      <c r="F17" s="123" t="s">
        <v>264</v>
      </c>
      <c r="G17" s="123" t="s">
        <v>265</v>
      </c>
    </row>
    <row r="18">
      <c r="B18" s="124" t="s">
        <v>266</v>
      </c>
      <c r="C18" s="124" t="s">
        <v>267</v>
      </c>
      <c r="D18" s="124" t="s">
        <v>268</v>
      </c>
      <c r="E18" s="124" t="s">
        <v>269</v>
      </c>
      <c r="F18" s="124" t="s">
        <v>270</v>
      </c>
      <c r="G18" s="124" t="s">
        <v>271</v>
      </c>
    </row>
    <row r="19">
      <c r="B19" s="124" t="s">
        <v>73</v>
      </c>
      <c r="C19" s="124" t="s">
        <v>272</v>
      </c>
      <c r="D19" s="124" t="s">
        <v>74</v>
      </c>
      <c r="E19" s="124" t="s">
        <v>273</v>
      </c>
      <c r="F19" s="124" t="s">
        <v>270</v>
      </c>
      <c r="G19" s="124" t="s">
        <v>270</v>
      </c>
    </row>
    <row r="20">
      <c r="B20" s="124" t="s">
        <v>89</v>
      </c>
      <c r="C20" s="124" t="s">
        <v>274</v>
      </c>
      <c r="D20" s="124" t="s">
        <v>90</v>
      </c>
      <c r="E20" s="124" t="s">
        <v>275</v>
      </c>
      <c r="F20" s="124" t="s">
        <v>276</v>
      </c>
      <c r="G20" s="124" t="s">
        <v>276</v>
      </c>
    </row>
    <row r="21" ht="15.75" customHeight="1">
      <c r="B21" s="124" t="s">
        <v>94</v>
      </c>
      <c r="C21" s="124" t="s">
        <v>277</v>
      </c>
      <c r="D21" s="124" t="s">
        <v>95</v>
      </c>
      <c r="E21" s="124" t="s">
        <v>278</v>
      </c>
      <c r="F21" s="124" t="s">
        <v>276</v>
      </c>
      <c r="G21" s="124" t="s">
        <v>276</v>
      </c>
    </row>
    <row r="22" ht="15.75" customHeight="1">
      <c r="B22" s="124" t="s">
        <v>116</v>
      </c>
      <c r="C22" s="124" t="s">
        <v>279</v>
      </c>
      <c r="D22" s="124" t="s">
        <v>117</v>
      </c>
      <c r="E22" s="124" t="s">
        <v>280</v>
      </c>
      <c r="F22" s="124" t="s">
        <v>276</v>
      </c>
      <c r="G22" s="124" t="s">
        <v>276</v>
      </c>
    </row>
    <row r="23" ht="15.75" customHeight="1">
      <c r="B23" s="124" t="s">
        <v>121</v>
      </c>
      <c r="C23" s="124" t="s">
        <v>281</v>
      </c>
      <c r="D23" s="124" t="s">
        <v>122</v>
      </c>
      <c r="E23" s="124" t="s">
        <v>282</v>
      </c>
      <c r="F23" s="124" t="s">
        <v>276</v>
      </c>
      <c r="G23" s="124" t="s">
        <v>276</v>
      </c>
    </row>
    <row r="24" ht="15.75" customHeight="1">
      <c r="B24" s="124" t="s">
        <v>152</v>
      </c>
      <c r="C24" s="124" t="s">
        <v>283</v>
      </c>
      <c r="D24" s="124" t="s">
        <v>68</v>
      </c>
      <c r="E24" s="124" t="s">
        <v>284</v>
      </c>
      <c r="F24" s="124" t="s">
        <v>270</v>
      </c>
      <c r="G24" s="124" t="s">
        <v>270</v>
      </c>
    </row>
    <row r="25" ht="15.75" customHeight="1">
      <c r="B25" s="124" t="s">
        <v>154</v>
      </c>
      <c r="C25" s="124" t="s">
        <v>285</v>
      </c>
      <c r="D25" s="124" t="s">
        <v>68</v>
      </c>
      <c r="E25" s="124" t="s">
        <v>284</v>
      </c>
      <c r="F25" s="124" t="s">
        <v>270</v>
      </c>
      <c r="G25" s="124" t="s">
        <v>270</v>
      </c>
    </row>
    <row r="26" ht="15.75" customHeight="1">
      <c r="B26" s="124" t="s">
        <v>209</v>
      </c>
      <c r="C26" s="124" t="s">
        <v>286</v>
      </c>
      <c r="D26" s="124" t="s">
        <v>210</v>
      </c>
      <c r="E26" s="124" t="s">
        <v>287</v>
      </c>
      <c r="F26" s="124" t="s">
        <v>270</v>
      </c>
      <c r="G26" s="124" t="s">
        <v>271</v>
      </c>
    </row>
    <row r="27" ht="15.75" customHeight="1">
      <c r="B27" s="124" t="s">
        <v>226</v>
      </c>
      <c r="C27" s="124" t="s">
        <v>288</v>
      </c>
      <c r="D27" s="124" t="s">
        <v>227</v>
      </c>
      <c r="E27" s="124" t="s">
        <v>289</v>
      </c>
      <c r="F27" s="124" t="s">
        <v>276</v>
      </c>
      <c r="G27" s="124" t="s">
        <v>276</v>
      </c>
    </row>
    <row r="28" ht="15.75" customHeight="1">
      <c r="B28" s="124" t="s">
        <v>230</v>
      </c>
      <c r="C28" s="124" t="s">
        <v>290</v>
      </c>
      <c r="D28" s="124" t="s">
        <v>231</v>
      </c>
      <c r="E28" s="124" t="s">
        <v>291</v>
      </c>
      <c r="F28" s="124" t="s">
        <v>276</v>
      </c>
      <c r="G28" s="124" t="s">
        <v>276</v>
      </c>
    </row>
    <row r="29" ht="15.75" customHeight="1"/>
    <row r="30" ht="15.75" customHeight="1"/>
    <row r="31" ht="15.75" customHeight="1">
      <c r="A31" s="125"/>
    </row>
    <row r="32" ht="15.75" customHeight="1">
      <c r="A32" s="125"/>
    </row>
    <row r="33" ht="15.75" customHeight="1">
      <c r="A33" s="125"/>
    </row>
    <row r="34" ht="75.0" customHeight="1">
      <c r="A34" s="125"/>
    </row>
    <row r="35" ht="15.75" customHeight="1">
      <c r="A35" s="125"/>
    </row>
    <row r="36" ht="15.0" customHeight="1">
      <c r="A36" s="125"/>
    </row>
    <row r="37" ht="15.75" customHeight="1">
      <c r="A37" s="125"/>
    </row>
    <row r="38" ht="15.75" customHeight="1">
      <c r="H38" s="125"/>
    </row>
    <row r="39" ht="15.75" customHeight="1">
      <c r="H39" s="125"/>
    </row>
    <row r="40" ht="15.75" customHeight="1">
      <c r="H40" s="125"/>
    </row>
    <row r="41" ht="15.75" customHeight="1"/>
    <row r="42" ht="15.75" customHeight="1"/>
    <row r="43" ht="15.75" customHeight="1"/>
    <row r="44" ht="15.75" customHeight="1"/>
    <row r="45" ht="15.75" customHeight="1"/>
    <row r="46" ht="15.75" customHeight="1"/>
    <row r="47" ht="15.75" customHeight="1"/>
    <row r="48" ht="15.75" customHeight="1"/>
    <row r="49" ht="33.75" customHeight="1"/>
    <row r="50" ht="15.75" customHeight="1"/>
    <row r="51" ht="15.75" customHeight="1"/>
    <row r="52" ht="15.75" customHeight="1"/>
    <row r="53" ht="39.0"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G3"/>
    <mergeCell ref="B4:D4"/>
    <mergeCell ref="B5:D5"/>
    <mergeCell ref="B6:D6"/>
    <mergeCell ref="B7:D7"/>
    <mergeCell ref="B8:D8"/>
    <mergeCell ref="B9:D9"/>
    <mergeCell ref="B10:G11"/>
  </mergeCells>
  <conditionalFormatting sqref="F18:G28">
    <cfRule type="containsText" dxfId="8" priority="1" stopIfTrue="1" operator="containsText" text="Medium">
      <formula>NOT(ISERROR(SEARCH(("Medium"),(F18))))</formula>
    </cfRule>
  </conditionalFormatting>
  <conditionalFormatting sqref="G18">
    <cfRule type="containsText" dxfId="9" priority="2" stopIfTrue="1" operator="containsText" text="Low">
      <formula>NOT(ISERROR(SEARCH(("Low"),(G18))))</formula>
    </cfRule>
  </conditionalFormatting>
  <conditionalFormatting sqref="G18">
    <cfRule type="containsText" dxfId="10" priority="3" stopIfTrue="1" operator="containsText" text="High">
      <formula>NOT(ISERROR(SEARCH(("High"),(G18))))</formula>
    </cfRule>
  </conditionalFormatting>
  <conditionalFormatting sqref="G19:G28">
    <cfRule type="containsText" dxfId="9" priority="4" stopIfTrue="1" operator="containsText" text="Low">
      <formula>NOT(ISERROR(SEARCH(("Low"),(G19))))</formula>
    </cfRule>
  </conditionalFormatting>
  <conditionalFormatting sqref="G19:G28">
    <cfRule type="containsText" dxfId="10" priority="5" stopIfTrue="1" operator="containsText" text="High">
      <formula>NOT(ISERROR(SEARCH(("High"),(G19))))</formula>
    </cfRule>
  </conditionalFormatting>
  <conditionalFormatting sqref="F28">
    <cfRule type="containsText" dxfId="9" priority="6" stopIfTrue="1" operator="containsText" text="Low">
      <formula>NOT(ISERROR(SEARCH(("Low"),(F28))))</formula>
    </cfRule>
  </conditionalFormatting>
  <conditionalFormatting sqref="F28">
    <cfRule type="containsText" dxfId="10" priority="7" stopIfTrue="1" operator="containsText" text="High">
      <formula>NOT(ISERROR(SEARCH(("High"),(F28))))</formula>
    </cfRule>
  </conditionalFormatting>
  <conditionalFormatting sqref="F27">
    <cfRule type="containsText" dxfId="9" priority="8" stopIfTrue="1" operator="containsText" text="Low">
      <formula>NOT(ISERROR(SEARCH(("Low"),(F27))))</formula>
    </cfRule>
  </conditionalFormatting>
  <conditionalFormatting sqref="F27">
    <cfRule type="containsText" dxfId="10" priority="9" stopIfTrue="1" operator="containsText" text="High">
      <formula>NOT(ISERROR(SEARCH(("High"),(F27))))</formula>
    </cfRule>
  </conditionalFormatting>
  <conditionalFormatting sqref="F22:F23">
    <cfRule type="containsText" dxfId="9" priority="10" stopIfTrue="1" operator="containsText" text="Low">
      <formula>NOT(ISERROR(SEARCH(("Low"),(F22))))</formula>
    </cfRule>
  </conditionalFormatting>
  <conditionalFormatting sqref="F22:F23">
    <cfRule type="containsText" dxfId="10" priority="11" stopIfTrue="1" operator="containsText" text="High">
      <formula>NOT(ISERROR(SEARCH(("High"),(F22))))</formula>
    </cfRule>
  </conditionalFormatting>
  <conditionalFormatting sqref="F20:F21">
    <cfRule type="containsText" dxfId="9" priority="12" stopIfTrue="1" operator="containsText" text="Low">
      <formula>NOT(ISERROR(SEARCH(("Low"),(F20))))</formula>
    </cfRule>
  </conditionalFormatting>
  <conditionalFormatting sqref="F20:F21">
    <cfRule type="containsText" dxfId="10" priority="13" stopIfTrue="1" operator="containsText" text="High">
      <formula>NOT(ISERROR(SEARCH(("High"),(F20))))</formula>
    </cfRule>
  </conditionalFormatting>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2024-06-14T09:52:40Z</dcterms:created>
  <dc:creator>Antora</dc:creator>
</cp:coreProperties>
</file>